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新数据生成\"/>
    </mc:Choice>
  </mc:AlternateContent>
  <bookViews>
    <workbookView xWindow="0" yWindow="0" windowWidth="28800" windowHeight="12210"/>
  </bookViews>
  <sheets>
    <sheet name="等级1" sheetId="1" r:id="rId1"/>
  </sheets>
  <calcPr calcId="162913"/>
</workbook>
</file>

<file path=xl/calcChain.xml><?xml version="1.0" encoding="utf-8"?>
<calcChain xmlns="http://schemas.openxmlformats.org/spreadsheetml/2006/main">
  <c r="L23" i="1" l="1"/>
  <c r="M23" i="1" s="1"/>
  <c r="F23" i="1"/>
  <c r="L22" i="1"/>
  <c r="M22" i="1" s="1"/>
  <c r="F22" i="1"/>
  <c r="L21" i="1"/>
  <c r="M21" i="1" s="1"/>
  <c r="F21" i="1"/>
  <c r="L20" i="1"/>
  <c r="M20" i="1" s="1"/>
  <c r="F20" i="1"/>
  <c r="L19" i="1"/>
  <c r="M19" i="1" s="1"/>
  <c r="F19" i="1"/>
  <c r="L18" i="1"/>
  <c r="M18" i="1" s="1"/>
  <c r="F18" i="1"/>
  <c r="L17" i="1"/>
  <c r="M17" i="1" s="1"/>
  <c r="F17" i="1"/>
  <c r="L16" i="1"/>
  <c r="M16" i="1" s="1"/>
  <c r="F16" i="1"/>
  <c r="L15" i="1"/>
  <c r="M15" i="1" s="1"/>
  <c r="F15" i="1"/>
  <c r="L14" i="1"/>
  <c r="M14" i="1" s="1"/>
  <c r="F14" i="1"/>
  <c r="L13" i="1"/>
  <c r="M13" i="1" s="1"/>
  <c r="F13" i="1"/>
  <c r="L12" i="1"/>
  <c r="M12" i="1" s="1"/>
  <c r="F12" i="1"/>
  <c r="L11" i="1"/>
  <c r="M11" i="1" s="1"/>
  <c r="F11" i="1"/>
  <c r="M10" i="1"/>
  <c r="L10" i="1"/>
  <c r="F10" i="1"/>
  <c r="L9" i="1"/>
  <c r="M9" i="1" s="1"/>
  <c r="F9" i="1"/>
  <c r="M8" i="1"/>
  <c r="L8" i="1"/>
  <c r="F8" i="1"/>
  <c r="M7" i="1"/>
  <c r="L7" i="1"/>
  <c r="F7" i="1"/>
  <c r="L6" i="1"/>
  <c r="M6" i="1" s="1"/>
  <c r="F6" i="1"/>
  <c r="L5" i="1"/>
  <c r="M5" i="1" s="1"/>
  <c r="F5" i="1"/>
  <c r="L4" i="1"/>
  <c r="M4" i="1" s="1"/>
  <c r="F4" i="1"/>
</calcChain>
</file>

<file path=xl/sharedStrings.xml><?xml version="1.0" encoding="utf-8"?>
<sst xmlns="http://schemas.openxmlformats.org/spreadsheetml/2006/main" count="59" uniqueCount="19">
  <si>
    <t>##var</t>
  </si>
  <si>
    <t>怪物波次</t>
  </si>
  <si>
    <t>时间点_30s</t>
  </si>
  <si>
    <t>阵容</t>
  </si>
  <si>
    <t>选技能次数</t>
  </si>
  <si>
    <t>总次数</t>
  </si>
  <si>
    <t>消除倍率</t>
  </si>
  <si>
    <t>每块小兵增加期望值</t>
  </si>
  <si>
    <t>初始战力</t>
  </si>
  <si>
    <t>当前阵容战力</t>
  </si>
  <si>
    <t>战力产出效率</t>
  </si>
  <si>
    <t>每波怪物总战力</t>
  </si>
  <si>
    <t>平均相当于多少个上阵角色</t>
  </si>
  <si>
    <t>##type</t>
  </si>
  <si>
    <t>int</t>
  </si>
  <si>
    <t>float</t>
  </si>
  <si>
    <t>string</t>
  </si>
  <si>
    <t>##</t>
  </si>
  <si>
    <t>['弓箭手', '士兵', '弓']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</si>
</sst>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0" fontId="2" fillId="2" borderId="2">
      <alignment horizontal="center" vertical="center"/>
    </xf>
    <xf numFmtId="0" fontId="3" fillId="0" borderId="2">
      <alignment horizontal="center" vertical="center"/>
    </xf>
  </cellStyleXfs>
  <cellXfs count="3">
    <xf numFmtId="0" fontId="0" fillId="0" borderId="0" xfId="0" applyBorder="1"/>
    <xf numFmtId="0" fontId="2" fillId="2" borderId="2" xfId="1" applyAlignment="1">
      <alignment horizontal="center" vertical="center"/>
    </xf>
    <xf numFmtId="0" fontId="3" fillId="0" borderId="2" xfId="2" applyAlignment="1">
      <alignment horizontal="center" vertical="center"/>
    </xf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activeCell="M27" sqref="M27"/>
    </sheetView>
  </sheetViews>
  <sheetFormatPr defaultRowHeight="13.5" x14ac:dyDescent="0.15"/>
  <cols>
    <col min="2" max="2" width="13.25" customWidth="1"/>
    <col min="3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1</v>
      </c>
      <c r="C4" s="2">
        <v>30</v>
      </c>
      <c r="D4" s="2" t="s">
        <v>18</v>
      </c>
      <c r="E4" s="2">
        <v>1</v>
      </c>
      <c r="F4" s="2">
        <f>SUM($E$4:$E4)</f>
        <v>1</v>
      </c>
      <c r="G4" s="2">
        <v>1</v>
      </c>
      <c r="H4" s="2">
        <v>0</v>
      </c>
      <c r="I4" s="2">
        <v>2184.6999999999998</v>
      </c>
      <c r="J4" s="2">
        <v>2307.3000000000002</v>
      </c>
      <c r="K4" s="2">
        <v>327.5</v>
      </c>
      <c r="L4" s="2">
        <f>$K$4*30</f>
        <v>9825</v>
      </c>
      <c r="M4" s="2">
        <f>$L$4/($J$4/4)</f>
        <v>17.032895592250682</v>
      </c>
    </row>
    <row r="5" spans="1:13" x14ac:dyDescent="0.15">
      <c r="B5" s="2">
        <v>2</v>
      </c>
      <c r="C5" s="2">
        <v>60</v>
      </c>
      <c r="D5" s="2" t="s">
        <v>18</v>
      </c>
      <c r="E5" s="2">
        <v>2</v>
      </c>
      <c r="F5" s="2">
        <f>SUM($E$4:$E5)</f>
        <v>3</v>
      </c>
      <c r="G5" s="2">
        <v>1.1000000000000001</v>
      </c>
      <c r="H5" s="2">
        <v>0.1</v>
      </c>
      <c r="I5" s="2">
        <v>2184.6999999999998</v>
      </c>
      <c r="J5" s="2">
        <v>2558.6</v>
      </c>
      <c r="K5" s="2">
        <v>410</v>
      </c>
      <c r="L5" s="2">
        <f>$K$5*30</f>
        <v>12300</v>
      </c>
      <c r="M5" s="2">
        <f>$L$5/($J$5/4)</f>
        <v>19.229266004846401</v>
      </c>
    </row>
    <row r="6" spans="1:13" x14ac:dyDescent="0.15">
      <c r="B6" s="2">
        <v>3</v>
      </c>
      <c r="C6" s="2">
        <v>90</v>
      </c>
      <c r="D6" s="2" t="s">
        <v>18</v>
      </c>
      <c r="E6" s="2">
        <v>1</v>
      </c>
      <c r="F6" s="2">
        <f>SUM($E$4:$E6)</f>
        <v>4</v>
      </c>
      <c r="G6" s="2">
        <v>1.1000000000000001</v>
      </c>
      <c r="H6" s="2">
        <v>0.2</v>
      </c>
      <c r="I6" s="2">
        <v>2184.6999999999998</v>
      </c>
      <c r="J6" s="2">
        <v>2687.3</v>
      </c>
      <c r="K6" s="2">
        <v>456.8</v>
      </c>
      <c r="L6" s="2">
        <f>$K$6*30</f>
        <v>13704</v>
      </c>
      <c r="M6" s="2">
        <f>$L$6/($J$6/4)</f>
        <v>20.398169166077473</v>
      </c>
    </row>
    <row r="7" spans="1:13" x14ac:dyDescent="0.15">
      <c r="B7" s="2">
        <v>4</v>
      </c>
      <c r="C7" s="2">
        <v>120</v>
      </c>
      <c r="D7" s="2" t="s">
        <v>18</v>
      </c>
      <c r="E7" s="2">
        <v>1</v>
      </c>
      <c r="F7" s="2">
        <f>SUM($E$4:$E7)</f>
        <v>5</v>
      </c>
      <c r="G7" s="2">
        <v>1.1000000000000001</v>
      </c>
      <c r="H7" s="2">
        <v>0.2</v>
      </c>
      <c r="I7" s="2">
        <v>2184.6999999999998</v>
      </c>
      <c r="J7" s="2">
        <v>2818.1</v>
      </c>
      <c r="K7" s="2">
        <v>507.5</v>
      </c>
      <c r="L7" s="2">
        <f>$K$7*30</f>
        <v>15225</v>
      </c>
      <c r="M7" s="2">
        <f>$L$7/($J$7/4)</f>
        <v>21.610304815301092</v>
      </c>
    </row>
    <row r="8" spans="1:13" x14ac:dyDescent="0.15">
      <c r="B8" s="2">
        <v>5</v>
      </c>
      <c r="C8" s="2">
        <v>150</v>
      </c>
      <c r="D8" s="2" t="s">
        <v>18</v>
      </c>
      <c r="E8" s="2">
        <v>1</v>
      </c>
      <c r="F8" s="2">
        <f>SUM($E$4:$E8)</f>
        <v>6</v>
      </c>
      <c r="G8" s="2">
        <v>1.2</v>
      </c>
      <c r="H8" s="2">
        <v>0.2</v>
      </c>
      <c r="I8" s="2">
        <v>2184.6999999999998</v>
      </c>
      <c r="J8" s="2">
        <v>2950.9</v>
      </c>
      <c r="K8" s="2">
        <v>562.5</v>
      </c>
      <c r="L8" s="2">
        <f>$K$8*30</f>
        <v>16875</v>
      </c>
      <c r="M8" s="2">
        <f>$L$8/($J$8/4)</f>
        <v>22.87437730861771</v>
      </c>
    </row>
    <row r="9" spans="1:13" x14ac:dyDescent="0.15">
      <c r="B9" s="2">
        <v>6</v>
      </c>
      <c r="C9" s="2">
        <v>180</v>
      </c>
      <c r="D9" s="2" t="s">
        <v>18</v>
      </c>
      <c r="E9" s="2">
        <v>1</v>
      </c>
      <c r="F9" s="2">
        <f>SUM($E$4:$E9)</f>
        <v>7</v>
      </c>
      <c r="G9" s="2">
        <v>1.2</v>
      </c>
      <c r="H9" s="2">
        <v>0.3</v>
      </c>
      <c r="I9" s="2">
        <v>2184.6999999999998</v>
      </c>
      <c r="J9" s="2">
        <v>3085.7</v>
      </c>
      <c r="K9" s="2">
        <v>622</v>
      </c>
      <c r="L9" s="2">
        <f>$K$9*30</f>
        <v>18660</v>
      </c>
      <c r="M9" s="2">
        <f>$L$9/($J$9/4)</f>
        <v>24.189000875004051</v>
      </c>
    </row>
    <row r="10" spans="1:13" x14ac:dyDescent="0.15">
      <c r="B10" s="2">
        <v>7</v>
      </c>
      <c r="C10" s="2">
        <v>210</v>
      </c>
      <c r="D10" s="2" t="s">
        <v>18</v>
      </c>
      <c r="E10" s="2">
        <v>2</v>
      </c>
      <c r="F10" s="2">
        <f>SUM($E$4:$E10)</f>
        <v>9</v>
      </c>
      <c r="G10" s="2">
        <v>1.3</v>
      </c>
      <c r="H10" s="2">
        <v>0.3</v>
      </c>
      <c r="I10" s="2">
        <v>2184.6999999999998</v>
      </c>
      <c r="J10" s="2">
        <v>3361.6</v>
      </c>
      <c r="K10" s="2">
        <v>755.7</v>
      </c>
      <c r="L10" s="2">
        <f>$K$10*30</f>
        <v>22671</v>
      </c>
      <c r="M10" s="2">
        <f>$L$10/($J$10/4)</f>
        <v>26.976439790575917</v>
      </c>
    </row>
    <row r="11" spans="1:13" x14ac:dyDescent="0.15">
      <c r="B11" s="2">
        <v>8</v>
      </c>
      <c r="C11" s="2">
        <v>240</v>
      </c>
      <c r="D11" s="2" t="s">
        <v>18</v>
      </c>
      <c r="E11" s="2">
        <v>1</v>
      </c>
      <c r="F11" s="2">
        <f>SUM($E$4:$E11)</f>
        <v>10</v>
      </c>
      <c r="G11" s="2">
        <v>1.3</v>
      </c>
      <c r="H11" s="2">
        <v>0.4</v>
      </c>
      <c r="I11" s="2">
        <v>2184.6999999999998</v>
      </c>
      <c r="J11" s="2">
        <v>3502.6</v>
      </c>
      <c r="K11" s="2">
        <v>830.6</v>
      </c>
      <c r="L11" s="2">
        <f>$K$11*30</f>
        <v>24918</v>
      </c>
      <c r="M11" s="2">
        <f>$L$11/($J$11/4)</f>
        <v>28.456575115628389</v>
      </c>
    </row>
    <row r="12" spans="1:13" x14ac:dyDescent="0.15">
      <c r="B12" s="2">
        <v>9</v>
      </c>
      <c r="C12" s="2">
        <v>270</v>
      </c>
      <c r="D12" s="2" t="s">
        <v>18</v>
      </c>
      <c r="E12" s="2">
        <v>1</v>
      </c>
      <c r="F12" s="2">
        <f>SUM($E$4:$E12)</f>
        <v>11</v>
      </c>
      <c r="G12" s="2">
        <v>1.3</v>
      </c>
      <c r="H12" s="2">
        <v>0.4</v>
      </c>
      <c r="I12" s="2">
        <v>2184.6999999999998</v>
      </c>
      <c r="J12" s="2">
        <v>3645.7</v>
      </c>
      <c r="K12" s="2">
        <v>911.1</v>
      </c>
      <c r="L12" s="2">
        <f>$K$12*30</f>
        <v>27333</v>
      </c>
      <c r="M12" s="2">
        <f>$L$12/($J$12/4)</f>
        <v>29.989302465918755</v>
      </c>
    </row>
    <row r="13" spans="1:13" x14ac:dyDescent="0.15">
      <c r="B13" s="2">
        <v>10</v>
      </c>
      <c r="C13" s="2">
        <v>300</v>
      </c>
      <c r="D13" s="2" t="s">
        <v>18</v>
      </c>
      <c r="E13" s="2">
        <v>1</v>
      </c>
      <c r="F13" s="2">
        <f>SUM($E$4:$E13)</f>
        <v>12</v>
      </c>
      <c r="G13" s="2">
        <v>1.4</v>
      </c>
      <c r="H13" s="2">
        <v>0.5</v>
      </c>
      <c r="I13" s="2">
        <v>2184.6999999999998</v>
      </c>
      <c r="J13" s="2">
        <v>3790.8</v>
      </c>
      <c r="K13" s="2">
        <v>997.8</v>
      </c>
      <c r="L13" s="2">
        <f>$K$13*30</f>
        <v>29934</v>
      </c>
      <c r="M13" s="2">
        <f>$L$13/($J$13/4)</f>
        <v>31.585944919278251</v>
      </c>
    </row>
    <row r="14" spans="1:13" x14ac:dyDescent="0.15">
      <c r="B14" s="2">
        <v>11</v>
      </c>
      <c r="C14" s="2">
        <v>330</v>
      </c>
      <c r="D14" s="2" t="s">
        <v>18</v>
      </c>
      <c r="E14" s="2">
        <v>1</v>
      </c>
      <c r="F14" s="2">
        <f>SUM($E$4:$E14)</f>
        <v>13</v>
      </c>
      <c r="G14" s="2">
        <v>1.4</v>
      </c>
      <c r="H14" s="2">
        <v>0.5</v>
      </c>
      <c r="I14" s="2">
        <v>2184.6999999999998</v>
      </c>
      <c r="J14" s="2">
        <v>3937.9</v>
      </c>
      <c r="K14" s="2">
        <v>1091</v>
      </c>
      <c r="L14" s="2">
        <f>$K$14*30</f>
        <v>32730</v>
      </c>
      <c r="M14" s="2">
        <f>$L$14/($J$14/4)</f>
        <v>33.246146423220495</v>
      </c>
    </row>
    <row r="15" spans="1:13" x14ac:dyDescent="0.15">
      <c r="B15" s="2">
        <v>12</v>
      </c>
      <c r="C15" s="2">
        <v>360</v>
      </c>
      <c r="D15" s="2" t="s">
        <v>18</v>
      </c>
      <c r="E15" s="2">
        <v>1</v>
      </c>
      <c r="F15" s="2">
        <f>SUM($E$4:$E15)</f>
        <v>14</v>
      </c>
      <c r="G15" s="2">
        <v>1.4</v>
      </c>
      <c r="H15" s="2">
        <v>0.5</v>
      </c>
      <c r="I15" s="2">
        <v>2184.6999999999998</v>
      </c>
      <c r="J15" s="2">
        <v>4087.1</v>
      </c>
      <c r="K15" s="2">
        <v>1191.0999999999999</v>
      </c>
      <c r="L15" s="2">
        <f>$K$15*30</f>
        <v>35733</v>
      </c>
      <c r="M15" s="2">
        <f>$L$15/($J$15/4)</f>
        <v>34.971495681534584</v>
      </c>
    </row>
    <row r="16" spans="1:13" x14ac:dyDescent="0.15">
      <c r="B16" s="2">
        <v>13</v>
      </c>
      <c r="C16" s="2">
        <v>390</v>
      </c>
      <c r="D16" s="2" t="s">
        <v>18</v>
      </c>
      <c r="E16" s="2">
        <v>1</v>
      </c>
      <c r="F16" s="2">
        <f>SUM($E$4:$E16)</f>
        <v>15</v>
      </c>
      <c r="G16" s="2">
        <v>1.5</v>
      </c>
      <c r="H16" s="2">
        <v>0.6</v>
      </c>
      <c r="I16" s="2">
        <v>2184.6999999999998</v>
      </c>
      <c r="J16" s="2">
        <v>4238.3</v>
      </c>
      <c r="K16" s="2">
        <v>1298.4000000000001</v>
      </c>
      <c r="L16" s="2">
        <f>$K$16*30</f>
        <v>38952</v>
      </c>
      <c r="M16" s="2">
        <f>$L$16/($J$16/4)</f>
        <v>36.76190925606965</v>
      </c>
    </row>
    <row r="17" spans="2:13" x14ac:dyDescent="0.15">
      <c r="B17" s="2">
        <v>14</v>
      </c>
      <c r="C17" s="2">
        <v>420</v>
      </c>
      <c r="D17" s="2" t="s">
        <v>18</v>
      </c>
      <c r="E17" s="2">
        <v>1</v>
      </c>
      <c r="F17" s="2">
        <f>SUM($E$4:$E17)</f>
        <v>16</v>
      </c>
      <c r="G17" s="2">
        <v>1.5</v>
      </c>
      <c r="H17" s="2">
        <v>0.6</v>
      </c>
      <c r="I17" s="2">
        <v>2184.6999999999998</v>
      </c>
      <c r="J17" s="2">
        <v>4391.6000000000004</v>
      </c>
      <c r="K17" s="2">
        <v>1413.4</v>
      </c>
      <c r="L17" s="2">
        <f>$K$17*30</f>
        <v>42402</v>
      </c>
      <c r="M17" s="2">
        <f>$L$17/($J$17/4)</f>
        <v>38.621003734402038</v>
      </c>
    </row>
    <row r="18" spans="2:13" x14ac:dyDescent="0.15">
      <c r="B18" s="2">
        <v>15</v>
      </c>
      <c r="C18" s="2">
        <v>450</v>
      </c>
      <c r="D18" s="2" t="s">
        <v>18</v>
      </c>
      <c r="E18" s="2">
        <v>1</v>
      </c>
      <c r="F18" s="2">
        <f>SUM($E$4:$E18)</f>
        <v>17</v>
      </c>
      <c r="G18" s="2">
        <v>1.5</v>
      </c>
      <c r="H18" s="2">
        <v>0.6</v>
      </c>
      <c r="I18" s="2">
        <v>2184.6999999999998</v>
      </c>
      <c r="J18" s="2">
        <v>4547</v>
      </c>
      <c r="K18" s="2">
        <v>1536.6</v>
      </c>
      <c r="L18" s="2">
        <f>$K$18*30</f>
        <v>46098</v>
      </c>
      <c r="M18" s="2">
        <f>$L$18/($J$18/4)</f>
        <v>40.552452166263471</v>
      </c>
    </row>
    <row r="19" spans="2:13" x14ac:dyDescent="0.15">
      <c r="B19" s="2">
        <v>16</v>
      </c>
      <c r="C19" s="2">
        <v>480</v>
      </c>
      <c r="D19" s="2" t="s">
        <v>18</v>
      </c>
      <c r="E19" s="2">
        <v>1</v>
      </c>
      <c r="F19" s="2">
        <f>SUM($E$4:$E19)</f>
        <v>18</v>
      </c>
      <c r="G19" s="2">
        <v>1.6</v>
      </c>
      <c r="H19" s="2">
        <v>0.7</v>
      </c>
      <c r="I19" s="2">
        <v>2184.6999999999998</v>
      </c>
      <c r="J19" s="2">
        <v>4704.3</v>
      </c>
      <c r="K19" s="2">
        <v>1668.4</v>
      </c>
      <c r="L19" s="2">
        <f>$K$19*30</f>
        <v>50052</v>
      </c>
      <c r="M19" s="2">
        <f>$L$19/($J$19/4)</f>
        <v>42.55851029908807</v>
      </c>
    </row>
    <row r="20" spans="2:13" x14ac:dyDescent="0.15">
      <c r="B20" s="2">
        <v>17</v>
      </c>
      <c r="C20" s="2">
        <v>510</v>
      </c>
      <c r="D20" s="2" t="s">
        <v>18</v>
      </c>
      <c r="E20" s="2">
        <v>0</v>
      </c>
      <c r="F20" s="2">
        <f>SUM($E$4:$E20)</f>
        <v>18</v>
      </c>
      <c r="G20" s="2">
        <v>1.6</v>
      </c>
      <c r="H20" s="2">
        <v>0.7</v>
      </c>
      <c r="I20" s="2">
        <v>2184.6999999999998</v>
      </c>
      <c r="J20" s="2">
        <v>4704.3</v>
      </c>
      <c r="K20" s="2">
        <v>1668.4</v>
      </c>
      <c r="L20" s="2">
        <f>$K$20*30</f>
        <v>50052</v>
      </c>
      <c r="M20" s="2">
        <f>$L$20/($J$20/4)</f>
        <v>42.55851029908807</v>
      </c>
    </row>
    <row r="21" spans="2:13" x14ac:dyDescent="0.15">
      <c r="B21" s="2">
        <v>18</v>
      </c>
      <c r="C21" s="2">
        <v>540</v>
      </c>
      <c r="D21" s="2" t="s">
        <v>18</v>
      </c>
      <c r="E21" s="2">
        <v>1</v>
      </c>
      <c r="F21" s="2">
        <f>SUM($E$4:$E21)</f>
        <v>19</v>
      </c>
      <c r="G21" s="2">
        <v>1.6</v>
      </c>
      <c r="H21" s="2">
        <v>0.7</v>
      </c>
      <c r="I21" s="2">
        <v>2184.6999999999998</v>
      </c>
      <c r="J21" s="2">
        <v>4863.8</v>
      </c>
      <c r="K21" s="2">
        <v>1809.4</v>
      </c>
      <c r="L21" s="2">
        <f>$K$21*30</f>
        <v>54282</v>
      </c>
      <c r="M21" s="2">
        <f>$L$21/($J$21/4)</f>
        <v>44.641638225255974</v>
      </c>
    </row>
    <row r="22" spans="2:13" x14ac:dyDescent="0.15">
      <c r="B22" s="2">
        <v>19</v>
      </c>
      <c r="C22" s="2">
        <v>570</v>
      </c>
      <c r="D22" s="2" t="s">
        <v>18</v>
      </c>
      <c r="E22" s="2">
        <v>1</v>
      </c>
      <c r="F22" s="2">
        <f>SUM($E$4:$E22)</f>
        <v>20</v>
      </c>
      <c r="G22" s="2">
        <v>1.7</v>
      </c>
      <c r="H22" s="2">
        <v>0.8</v>
      </c>
      <c r="I22" s="2">
        <v>2184.6999999999998</v>
      </c>
      <c r="J22" s="2">
        <v>5025.2</v>
      </c>
      <c r="K22" s="2">
        <v>1960</v>
      </c>
      <c r="L22" s="2">
        <f>$K$22*30</f>
        <v>58800</v>
      </c>
      <c r="M22" s="2">
        <f>$L$22/($J$22/4)</f>
        <v>46.804107299211971</v>
      </c>
    </row>
    <row r="23" spans="2:13" x14ac:dyDescent="0.15">
      <c r="B23" s="2">
        <v>20</v>
      </c>
      <c r="C23" s="2">
        <v>600</v>
      </c>
      <c r="D23" s="2" t="s">
        <v>18</v>
      </c>
      <c r="E23" s="2">
        <v>1</v>
      </c>
      <c r="F23" s="2">
        <f>SUM($E$4:$E23)</f>
        <v>21</v>
      </c>
      <c r="G23" s="2">
        <v>1.7</v>
      </c>
      <c r="H23" s="2">
        <v>0.8</v>
      </c>
      <c r="I23" s="2">
        <v>2184.6999999999998</v>
      </c>
      <c r="J23" s="2">
        <v>5188.8</v>
      </c>
      <c r="K23" s="2">
        <v>2120.8000000000002</v>
      </c>
      <c r="L23" s="2">
        <f>$K$23*30</f>
        <v>63624.000000000007</v>
      </c>
      <c r="M23" s="2">
        <f>$L$23/($J$23/4)</f>
        <v>49.047178538390384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等级1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2025-05-02T09:27:12Z</dcterms:created>
  <dcterms:modified xsi:type="dcterms:W3CDTF">2025-05-02T11:43:55Z</dcterms:modified>
</cp:coreProperties>
</file>