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肉鸽技能节奏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color rgb="00000000"/>
      <sz val="11"/>
    </font>
  </fonts>
  <fills count="3">
    <fill>
      <patternFill/>
    </fill>
    <fill>
      <patternFill patternType="gray125"/>
    </fill>
    <fill>
      <patternFill patternType="solid">
        <fgColor rgb="00424242"/>
      </patternFill>
    </fill>
  </fills>
  <borders count="2">
    <border>
      <left/>
      <right/>
      <top/>
      <bottom/>
      <diagonal/>
    </border>
    <border/>
  </borders>
  <cellStyleXfs count="3">
    <xf numFmtId="0" fontId="0" fillId="0" borderId="0"/>
    <xf numFmtId="0" fontId="1" fillId="2" borderId="1" applyAlignment="1">
      <alignment horizontal="center" vertical="center"/>
    </xf>
    <xf numFmtId="0" fontId="2" fillId="0" borderId="1" applyAlignment="1">
      <alignment horizontal="center" vertical="center"/>
    </xf>
  </cellStyleXfs>
  <cellXfs count="3">
    <xf numFmtId="0" fontId="0" fillId="0" borderId="0" pivotButton="0" quotePrefix="0" xfId="0"/>
    <xf numFmtId="0" fontId="1" fillId="2" borderId="1" applyAlignment="1" pivotButton="0" quotePrefix="0" xfId="1">
      <alignment horizontal="center" vertical="center"/>
    </xf>
    <xf numFmtId="0" fontId="2" fillId="0" borderId="1" applyAlignment="1" pivotButton="0" quotePrefix="0" xfId="2">
      <alignment horizontal="center" vertical="center"/>
    </xf>
  </cellXfs>
  <cellStyles count="3">
    <cellStyle name="Normal" xfId="0" builtinId="0" hidden="0"/>
    <cellStyle name="header_default" xfId="1" hidden="0"/>
    <cellStyle name="data_default" xfId="2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2" max="2"/>
    <col width="19.8" customWidth="1" min="3" max="3"/>
    <col width="17.6" customWidth="1" min="4" max="4"/>
    <col width="24.2" customWidth="1" min="5" max="5"/>
    <col width="26.4" customWidth="1" min="6" max="6"/>
    <col width="22" customWidth="1" min="7" max="7"/>
    <col width="17.6" customWidth="1" min="8" max="8"/>
  </cols>
  <sheetData>
    <row r="1">
      <c r="A1" s="1" t="inlineStr">
        <is>
          <t>##var</t>
        </is>
      </c>
      <c r="B1" s="1" t="inlineStr">
        <is>
          <t>肉鸽技能升级次数</t>
        </is>
      </c>
      <c r="C1" s="1" t="inlineStr">
        <is>
          <t>理论所需经验值</t>
        </is>
      </c>
      <c r="D1" s="1" t="inlineStr">
        <is>
          <t>玩家消除行数</t>
        </is>
      </c>
      <c r="E1" s="1" t="inlineStr">
        <is>
          <t>玩家获得的经验总值</t>
        </is>
      </c>
      <c r="F1" s="1" t="inlineStr">
        <is>
          <t>获得经验的时间(s)</t>
        </is>
      </c>
      <c r="G1" s="1" t="inlineStr">
        <is>
          <t>时间取整每30s</t>
        </is>
      </c>
      <c r="H1" s="1" t="inlineStr">
        <is>
          <t>根据时间计数</t>
        </is>
      </c>
    </row>
    <row r="2">
      <c r="A2" s="1" t="inlineStr">
        <is>
          <t>##type</t>
        </is>
      </c>
      <c r="B2" s="1" t="inlineStr">
        <is>
          <t>int</t>
        </is>
      </c>
      <c r="C2" s="1" t="inlineStr">
        <is>
          <t>float</t>
        </is>
      </c>
      <c r="D2" s="1" t="inlineStr">
        <is>
          <t>int</t>
        </is>
      </c>
      <c r="E2" s="1" t="inlineStr">
        <is>
          <t>int</t>
        </is>
      </c>
      <c r="F2" s="1" t="inlineStr">
        <is>
          <t>float</t>
        </is>
      </c>
      <c r="G2" s="1" t="inlineStr">
        <is>
          <t>int</t>
        </is>
      </c>
      <c r="H2" s="1" t="inlineStr">
        <is>
          <t>int</t>
        </is>
      </c>
    </row>
    <row r="3">
      <c r="A3" s="1" t="inlineStr">
        <is>
          <t>##</t>
        </is>
      </c>
      <c r="B3" s="1" t="inlineStr">
        <is>
          <t>肉鸽技能升级次数</t>
        </is>
      </c>
      <c r="C3" s="1" t="inlineStr">
        <is>
          <t>理论所需经验值</t>
        </is>
      </c>
      <c r="D3" s="1" t="inlineStr">
        <is>
          <t>玩家消除行数</t>
        </is>
      </c>
      <c r="E3" s="1" t="inlineStr">
        <is>
          <t>玩家获得的经验总值</t>
        </is>
      </c>
      <c r="F3" s="1" t="inlineStr">
        <is>
          <t>获得经验的时间(s)</t>
        </is>
      </c>
      <c r="G3" s="1" t="inlineStr">
        <is>
          <t>时间取整每30s</t>
        </is>
      </c>
      <c r="H3" s="1" t="inlineStr">
        <is>
          <t>根据时间计数</t>
        </is>
      </c>
    </row>
    <row r="4">
      <c r="B4" s="2" t="n">
        <v>1</v>
      </c>
      <c r="C4" s="2" t="n">
        <v>280</v>
      </c>
      <c r="D4" s="2" t="n">
        <v>3</v>
      </c>
      <c r="E4" s="2" t="n">
        <v>300</v>
      </c>
      <c r="F4" s="2" t="n">
        <v>18.8</v>
      </c>
      <c r="G4" s="2">
        <f>ROUNDUP(F4/30,0)</f>
        <v/>
      </c>
      <c r="H4" s="2">
        <f>COUNTIF($G$4:$G4,$G4)</f>
        <v/>
      </c>
    </row>
    <row r="5">
      <c r="B5" s="2" t="n">
        <v>2</v>
      </c>
      <c r="C5" s="2" t="n">
        <v>288.5</v>
      </c>
      <c r="D5" s="2" t="n">
        <v>3</v>
      </c>
      <c r="E5" s="2" t="n">
        <v>600</v>
      </c>
      <c r="F5" s="2" t="n">
        <v>37.5</v>
      </c>
      <c r="G5" s="2">
        <f>ROUNDUP(F5/30,0)</f>
        <v/>
      </c>
      <c r="H5" s="2">
        <f>COUNTIF($G$4:$G5,$G5)</f>
        <v/>
      </c>
    </row>
    <row r="6">
      <c r="B6" s="2" t="n">
        <v>3</v>
      </c>
      <c r="C6" s="2" t="n">
        <v>297.5</v>
      </c>
      <c r="D6" s="2" t="n">
        <v>3</v>
      </c>
      <c r="E6" s="2" t="n">
        <v>900</v>
      </c>
      <c r="F6" s="2" t="n">
        <v>56.2</v>
      </c>
      <c r="G6" s="2">
        <f>ROUNDUP(F6/30,0)</f>
        <v/>
      </c>
      <c r="H6" s="2">
        <f>COUNTIF($G$4:$G6,$G6)</f>
        <v/>
      </c>
    </row>
    <row r="7">
      <c r="B7" s="2" t="n">
        <v>4</v>
      </c>
      <c r="C7" s="2" t="n">
        <v>307</v>
      </c>
      <c r="D7" s="2" t="n">
        <v>4</v>
      </c>
      <c r="E7" s="2" t="n">
        <v>1300</v>
      </c>
      <c r="F7" s="2" t="n">
        <v>81.2</v>
      </c>
      <c r="G7" s="2">
        <f>ROUNDUP(F7/30,0)</f>
        <v/>
      </c>
      <c r="H7" s="2">
        <f>COUNTIF($G$4:$G7,$G7)</f>
        <v/>
      </c>
    </row>
    <row r="8">
      <c r="B8" s="2" t="n">
        <v>5</v>
      </c>
      <c r="C8" s="2" t="n">
        <v>317</v>
      </c>
      <c r="D8" s="2" t="n">
        <v>4</v>
      </c>
      <c r="E8" s="2" t="n">
        <v>1700</v>
      </c>
      <c r="F8" s="2" t="n">
        <v>106.2</v>
      </c>
      <c r="G8" s="2">
        <f>ROUNDUP(F8/30,0)</f>
        <v/>
      </c>
      <c r="H8" s="2">
        <f>COUNTIF($G$4:$G8,$G8)</f>
        <v/>
      </c>
    </row>
    <row r="9">
      <c r="B9" s="2" t="n">
        <v>6</v>
      </c>
      <c r="C9" s="2" t="n">
        <v>327.5</v>
      </c>
      <c r="D9" s="2" t="n">
        <v>4</v>
      </c>
      <c r="E9" s="2" t="n">
        <v>2100</v>
      </c>
      <c r="F9" s="2" t="n">
        <v>131.2</v>
      </c>
      <c r="G9" s="2">
        <f>ROUNDUP(F9/30,0)</f>
        <v/>
      </c>
      <c r="H9" s="2">
        <f>COUNTIF($G$4:$G9,$G9)</f>
        <v/>
      </c>
    </row>
    <row r="10">
      <c r="B10" s="2" t="n">
        <v>7</v>
      </c>
      <c r="C10" s="2" t="n">
        <v>338.5</v>
      </c>
      <c r="D10" s="2" t="n">
        <v>4</v>
      </c>
      <c r="E10" s="2" t="n">
        <v>2500</v>
      </c>
      <c r="F10" s="2" t="n">
        <v>156.2</v>
      </c>
      <c r="G10" s="2">
        <f>ROUNDUP(F10/30,0)</f>
        <v/>
      </c>
      <c r="H10" s="2">
        <f>COUNTIF($G$4:$G10,$G10)</f>
        <v/>
      </c>
    </row>
    <row r="11">
      <c r="B11" s="2" t="n">
        <v>8</v>
      </c>
      <c r="C11" s="2" t="n">
        <v>350</v>
      </c>
      <c r="D11" s="2" t="n">
        <v>4</v>
      </c>
      <c r="E11" s="2" t="n">
        <v>2900</v>
      </c>
      <c r="F11" s="2" t="n">
        <v>181.2</v>
      </c>
      <c r="G11" s="2">
        <f>ROUNDUP(F11/30,0)</f>
        <v/>
      </c>
      <c r="H11" s="2">
        <f>COUNTIF($G$4:$G11,$G11)</f>
        <v/>
      </c>
    </row>
    <row r="12">
      <c r="B12" s="2" t="n">
        <v>9</v>
      </c>
      <c r="C12" s="2" t="n">
        <v>362</v>
      </c>
      <c r="D12" s="2" t="n">
        <v>4</v>
      </c>
      <c r="E12" s="2" t="n">
        <v>3300</v>
      </c>
      <c r="F12" s="2" t="n">
        <v>206.2</v>
      </c>
      <c r="G12" s="2">
        <f>ROUNDUP(F12/30,0)</f>
        <v/>
      </c>
      <c r="H12" s="2">
        <f>COUNTIF($G$4:$G12,$G12)</f>
        <v/>
      </c>
    </row>
    <row r="13">
      <c r="B13" s="2" t="n">
        <v>10</v>
      </c>
      <c r="C13" s="2" t="n">
        <v>374.5</v>
      </c>
      <c r="D13" s="2" t="n">
        <v>4</v>
      </c>
      <c r="E13" s="2" t="n">
        <v>3700</v>
      </c>
      <c r="F13" s="2" t="n">
        <v>231.2</v>
      </c>
      <c r="G13" s="2">
        <f>ROUNDUP(F13/30,0)</f>
        <v/>
      </c>
      <c r="H13" s="2">
        <f>COUNTIF($G$4:$G13,$G13)</f>
        <v/>
      </c>
    </row>
    <row r="14">
      <c r="B14" s="2" t="n">
        <v>11</v>
      </c>
      <c r="C14" s="2" t="n">
        <v>387.5</v>
      </c>
      <c r="D14" s="2" t="n">
        <v>4</v>
      </c>
      <c r="E14" s="2" t="n">
        <v>4100</v>
      </c>
      <c r="F14" s="2" t="n">
        <v>256.2</v>
      </c>
      <c r="G14" s="2">
        <f>ROUNDUP(F14/30,0)</f>
        <v/>
      </c>
      <c r="H14" s="2">
        <f>COUNTIF($G$4:$G14,$G14)</f>
        <v/>
      </c>
    </row>
    <row r="15">
      <c r="B15" s="2" t="n">
        <v>12</v>
      </c>
      <c r="C15" s="2" t="n">
        <v>401</v>
      </c>
      <c r="D15" s="2" t="n">
        <v>5</v>
      </c>
      <c r="E15" s="2" t="n">
        <v>4600</v>
      </c>
      <c r="F15" s="2" t="n">
        <v>287.5</v>
      </c>
      <c r="G15" s="2">
        <f>ROUNDUP(F15/30,0)</f>
        <v/>
      </c>
      <c r="H15" s="2">
        <f>COUNTIF($G$4:$G15,$G15)</f>
        <v/>
      </c>
    </row>
    <row r="16">
      <c r="B16" s="2" t="n">
        <v>13</v>
      </c>
      <c r="C16" s="2" t="n">
        <v>415</v>
      </c>
      <c r="D16" s="2" t="n">
        <v>5</v>
      </c>
      <c r="E16" s="2" t="n">
        <v>5100</v>
      </c>
      <c r="F16" s="2" t="n">
        <v>318.8</v>
      </c>
      <c r="G16" s="2">
        <f>ROUNDUP(F16/30,0)</f>
        <v/>
      </c>
      <c r="H16" s="2">
        <f>COUNTIF($G$4:$G16,$G16)</f>
        <v/>
      </c>
    </row>
    <row r="17">
      <c r="B17" s="2" t="n">
        <v>14</v>
      </c>
      <c r="C17" s="2" t="n">
        <v>429.5</v>
      </c>
      <c r="D17" s="2" t="n">
        <v>5</v>
      </c>
      <c r="E17" s="2" t="n">
        <v>5600</v>
      </c>
      <c r="F17" s="2" t="n">
        <v>350</v>
      </c>
      <c r="G17" s="2">
        <f>ROUNDUP(F17/30,0)</f>
        <v/>
      </c>
      <c r="H17" s="2">
        <f>COUNTIF($G$4:$G17,$G17)</f>
        <v/>
      </c>
    </row>
    <row r="18">
      <c r="B18" s="2" t="n">
        <v>15</v>
      </c>
      <c r="C18" s="2" t="n">
        <v>444.5</v>
      </c>
      <c r="D18" s="2" t="n">
        <v>5</v>
      </c>
      <c r="E18" s="2" t="n">
        <v>6100</v>
      </c>
      <c r="F18" s="2" t="n">
        <v>381.2</v>
      </c>
      <c r="G18" s="2">
        <f>ROUNDUP(F18/30,0)</f>
        <v/>
      </c>
      <c r="H18" s="2">
        <f>COUNTIF($G$4:$G18,$G18)</f>
        <v/>
      </c>
    </row>
    <row r="19">
      <c r="B19" s="2" t="n">
        <v>16</v>
      </c>
      <c r="C19" s="2" t="n">
        <v>460</v>
      </c>
      <c r="D19" s="2" t="n">
        <v>5</v>
      </c>
      <c r="E19" s="2" t="n">
        <v>6600</v>
      </c>
      <c r="F19" s="2" t="n">
        <v>412.5</v>
      </c>
      <c r="G19" s="2">
        <f>ROUNDUP(F19/30,0)</f>
        <v/>
      </c>
      <c r="H19" s="2">
        <f>COUNTIF($G$4:$G19,$G19)</f>
        <v/>
      </c>
    </row>
    <row r="20">
      <c r="B20" s="2" t="n">
        <v>17</v>
      </c>
      <c r="C20" s="2" t="n">
        <v>476</v>
      </c>
      <c r="D20" s="2" t="n">
        <v>5</v>
      </c>
      <c r="E20" s="2" t="n">
        <v>7100</v>
      </c>
      <c r="F20" s="2" t="n">
        <v>443.8</v>
      </c>
      <c r="G20" s="2">
        <f>ROUNDUP(F20/30,0)</f>
        <v/>
      </c>
      <c r="H20" s="2">
        <f>COUNTIF($G$4:$G20,$G20)</f>
        <v/>
      </c>
    </row>
    <row r="21">
      <c r="B21" s="2" t="n">
        <v>18</v>
      </c>
      <c r="C21" s="2" t="n">
        <v>492.5</v>
      </c>
      <c r="D21" s="2" t="n">
        <v>5</v>
      </c>
      <c r="E21" s="2" t="n">
        <v>7600</v>
      </c>
      <c r="F21" s="2" t="n">
        <v>475</v>
      </c>
      <c r="G21" s="2">
        <f>ROUNDUP(F21/30,0)</f>
        <v/>
      </c>
      <c r="H21" s="2">
        <f>COUNTIF($G$4:$G21,$G21)</f>
        <v/>
      </c>
    </row>
    <row r="22">
      <c r="B22" s="2" t="n">
        <v>19</v>
      </c>
      <c r="C22" s="2" t="n">
        <v>509.5</v>
      </c>
      <c r="D22" s="2" t="n">
        <v>6</v>
      </c>
      <c r="E22" s="2" t="n">
        <v>8200</v>
      </c>
      <c r="F22" s="2" t="n">
        <v>512.5</v>
      </c>
      <c r="G22" s="2">
        <f>ROUNDUP(F22/30,0)</f>
        <v/>
      </c>
      <c r="H22" s="2">
        <f>COUNTIF($G$4:$G22,$G22)</f>
        <v/>
      </c>
    </row>
    <row r="23">
      <c r="B23" s="2" t="n">
        <v>20</v>
      </c>
      <c r="C23" s="2" t="n">
        <v>527</v>
      </c>
      <c r="D23" s="2" t="n">
        <v>6</v>
      </c>
      <c r="E23" s="2" t="n">
        <v>8800</v>
      </c>
      <c r="F23" s="2" t="n">
        <v>550</v>
      </c>
      <c r="G23" s="2">
        <f>ROUNDUP(F23/30,0)</f>
        <v/>
      </c>
      <c r="H23" s="2">
        <f>COUNTIF($G$4:$G23,$G23)</f>
        <v/>
      </c>
    </row>
    <row r="24">
      <c r="B24" s="2" t="n">
        <v>21</v>
      </c>
      <c r="C24" s="2" t="n">
        <v>545</v>
      </c>
      <c r="D24" s="2" t="n">
        <v>6</v>
      </c>
      <c r="E24" s="2" t="n">
        <v>9400</v>
      </c>
      <c r="F24" s="2" t="n">
        <v>587.5</v>
      </c>
      <c r="G24" s="2">
        <f>ROUNDUP(F24/30,0)</f>
        <v/>
      </c>
      <c r="H24" s="2">
        <f>COUNTIF($G$4:$G24,$G24)</f>
        <v/>
      </c>
    </row>
    <row r="25">
      <c r="B25" s="2" t="n">
        <v>22</v>
      </c>
      <c r="C25" s="2" t="n">
        <v>563.5</v>
      </c>
      <c r="D25" s="2" t="n">
        <v>6</v>
      </c>
      <c r="E25" s="2" t="n">
        <v>10000</v>
      </c>
      <c r="F25" s="2" t="n">
        <v>625</v>
      </c>
      <c r="G25" s="2">
        <f>ROUNDUP(F25/30,0)</f>
        <v/>
      </c>
      <c r="H25" s="2">
        <f>COUNTIF($G$4:$G25,$G25)</f>
        <v/>
      </c>
    </row>
    <row r="26">
      <c r="B26" s="2" t="n">
        <v>23</v>
      </c>
      <c r="C26" s="2" t="n">
        <v>582.5</v>
      </c>
      <c r="D26" s="2" t="n">
        <v>6</v>
      </c>
      <c r="E26" s="2" t="n">
        <v>10600</v>
      </c>
      <c r="F26" s="2" t="n">
        <v>662.5</v>
      </c>
      <c r="G26" s="2">
        <f>ROUNDUP(F26/30,0)</f>
        <v/>
      </c>
      <c r="H26" s="2">
        <f>COUNTIF($G$4:$G26,$G26)</f>
        <v/>
      </c>
    </row>
    <row r="27">
      <c r="B27" s="2" t="n">
        <v>24</v>
      </c>
      <c r="C27" s="2" t="n">
        <v>602</v>
      </c>
      <c r="D27" s="2" t="n">
        <v>7</v>
      </c>
      <c r="E27" s="2" t="n">
        <v>11300</v>
      </c>
      <c r="F27" s="2" t="n">
        <v>706.2</v>
      </c>
      <c r="G27" s="2">
        <f>ROUNDUP(F27/30,0)</f>
        <v/>
      </c>
      <c r="H27" s="2">
        <f>COUNTIF($G$4:$G27,$G27)</f>
        <v/>
      </c>
    </row>
    <row r="28">
      <c r="B28" s="2" t="n">
        <v>25</v>
      </c>
      <c r="C28" s="2" t="n">
        <v>622</v>
      </c>
      <c r="D28" s="2" t="n">
        <v>7</v>
      </c>
      <c r="E28" s="2" t="n">
        <v>12000</v>
      </c>
      <c r="F28" s="2" t="n">
        <v>750</v>
      </c>
      <c r="G28" s="2">
        <f>ROUNDUP(F28/30,0)</f>
        <v/>
      </c>
      <c r="H28" s="2">
        <f>COUNTIF($G$4:$G28,$G28)</f>
        <v/>
      </c>
    </row>
    <row r="29">
      <c r="B29" s="2" t="n">
        <v>26</v>
      </c>
      <c r="C29" s="2" t="n">
        <v>622</v>
      </c>
      <c r="D29" s="2" t="n">
        <v>7</v>
      </c>
      <c r="E29" s="2" t="n">
        <v>12700</v>
      </c>
      <c r="F29" s="2" t="n">
        <v>793.8</v>
      </c>
      <c r="G29" s="2">
        <f>ROUNDUP(F29/30,0)</f>
        <v/>
      </c>
      <c r="H29" s="2">
        <f>COUNTIF($G$4:$G29,$G29)</f>
        <v/>
      </c>
    </row>
    <row r="30">
      <c r="B30" s="2" t="n">
        <v>27</v>
      </c>
      <c r="C30" s="2" t="n">
        <v>622</v>
      </c>
      <c r="D30" s="2" t="n">
        <v>7</v>
      </c>
      <c r="E30" s="2" t="n">
        <v>13400</v>
      </c>
      <c r="F30" s="2" t="n">
        <v>837.5</v>
      </c>
      <c r="G30" s="2">
        <f>ROUNDUP(F30/30,0)</f>
        <v/>
      </c>
      <c r="H30" s="2">
        <f>COUNTIF($G$4:$G30,$G30)</f>
        <v/>
      </c>
    </row>
    <row r="31">
      <c r="B31" s="2" t="n">
        <v>28</v>
      </c>
      <c r="C31" s="2" t="n">
        <v>622</v>
      </c>
      <c r="D31" s="2" t="n">
        <v>7</v>
      </c>
      <c r="E31" s="2" t="n">
        <v>14100</v>
      </c>
      <c r="F31" s="2" t="n">
        <v>881.2</v>
      </c>
      <c r="G31" s="2">
        <f>ROUNDUP(F31/30,0)</f>
        <v/>
      </c>
      <c r="H31" s="2">
        <f>COUNTIF($G$4:$G31,$G31)</f>
        <v/>
      </c>
    </row>
    <row r="32">
      <c r="B32" s="2" t="n">
        <v>29</v>
      </c>
      <c r="C32" s="2" t="n">
        <v>622</v>
      </c>
      <c r="D32" s="2" t="n">
        <v>7</v>
      </c>
      <c r="E32" s="2" t="n">
        <v>14800</v>
      </c>
      <c r="F32" s="2" t="n">
        <v>925</v>
      </c>
      <c r="G32" s="2">
        <f>ROUNDUP(F32/30,0)</f>
        <v/>
      </c>
      <c r="H32" s="2">
        <f>COUNTIF($G$4:$G32,$G32)</f>
        <v/>
      </c>
    </row>
    <row r="33">
      <c r="B33" s="2" t="n">
        <v>30</v>
      </c>
      <c r="C33" s="2" t="n">
        <v>622</v>
      </c>
      <c r="D33" s="2" t="n">
        <v>7</v>
      </c>
      <c r="E33" s="2" t="n">
        <v>15500</v>
      </c>
      <c r="F33" s="2" t="n">
        <v>968.8</v>
      </c>
      <c r="G33" s="2">
        <f>ROUNDUP(F33/30,0)</f>
        <v/>
      </c>
      <c r="H33" s="2">
        <f>COUNTIF($G$4:$G33,$G33)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2025-05-01T16:43:10Z</dcterms:created>
  <dcterms:modified xsi:type="dcterms:W3CDTF">2025-05-01T16:45:46Z</dcterms:modified>
</cp:coreProperties>
</file>