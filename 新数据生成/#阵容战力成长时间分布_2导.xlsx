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等级20" sheetId="1" state="visible" r:id="rId1"/>
    <sheet name="等级19" sheetId="2" state="visible" r:id="rId2"/>
    <sheet name="等级18" sheetId="3" state="visible" r:id="rId3"/>
    <sheet name="等级17" sheetId="4" state="visible" r:id="rId4"/>
    <sheet name="等级16" sheetId="5" state="visible" r:id="rId5"/>
    <sheet name="等级15" sheetId="6" state="visible" r:id="rId6"/>
    <sheet name="等级14" sheetId="7" state="visible" r:id="rId7"/>
    <sheet name="等级13" sheetId="8" state="visible" r:id="rId8"/>
    <sheet name="等级12" sheetId="9" state="visible" r:id="rId9"/>
    <sheet name="等级11" sheetId="10" state="visible" r:id="rId10"/>
    <sheet name="等级10" sheetId="11" state="visible" r:id="rId11"/>
    <sheet name="等级9" sheetId="12" state="visible" r:id="rId12"/>
    <sheet name="等级8" sheetId="13" state="visible" r:id="rId13"/>
    <sheet name="等级7" sheetId="14" state="visible" r:id="rId14"/>
    <sheet name="等级6" sheetId="15" state="visible" r:id="rId15"/>
    <sheet name="等级5" sheetId="16" state="visible" r:id="rId16"/>
    <sheet name="等级4" sheetId="17" state="visible" r:id="rId17"/>
    <sheet name="等级3" sheetId="18" state="visible" r:id="rId18"/>
    <sheet name="等级2" sheetId="19" state="visible" r:id="rId19"/>
    <sheet name="等级1" sheetId="20" state="visible" r:id="rId20"/>
    <sheet name="Sheet1" sheetId="21" state="visible" r:id="rId2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6">
    <font>
      <name val="宋体"/>
      <family val="2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000000"/>
      <sz val="11"/>
    </font>
    <font>
      <b val="1"/>
      <color rgb="00FFFFFF"/>
      <sz val="11"/>
    </font>
    <font>
      <color rgb="00000000"/>
      <sz val="11"/>
    </font>
  </fonts>
  <fills count="4">
    <fill>
      <patternFill/>
    </fill>
    <fill>
      <patternFill patternType="gray125"/>
    </fill>
    <fill>
      <patternFill patternType="solid">
        <fgColor rgb="FF424242"/>
      </patternFill>
    </fill>
    <fill>
      <patternFill patternType="solid">
        <fgColor rgb="00424242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/>
  </borders>
  <cellStyleXfs count="3">
    <xf numFmtId="0" fontId="0" fillId="0" borderId="2"/>
    <xf numFmtId="0" fontId="4" fillId="3" borderId="3" applyAlignment="1">
      <alignment horizontal="center" vertical="center"/>
    </xf>
    <xf numFmtId="0" fontId="5" fillId="0" borderId="3" applyAlignment="1">
      <alignment horizontal="center" vertical="center"/>
    </xf>
  </cellStyleXfs>
  <cellXfs count="5">
    <xf numFmtId="0" fontId="0" fillId="0" borderId="0" pivotButton="0" quotePrefix="0" xfId="0"/>
    <xf numFmtId="0" fontId="2" fillId="2" borderId="2" applyAlignment="1" pivotButton="0" quotePrefix="0" xfId="1">
      <alignment horizontal="center" vertical="center"/>
    </xf>
    <xf numFmtId="0" fontId="3" fillId="0" borderId="2" applyAlignment="1" pivotButton="0" quotePrefix="0" xfId="2">
      <alignment horizontal="center" vertical="center"/>
    </xf>
    <xf numFmtId="0" fontId="4" fillId="3" borderId="3" applyAlignment="1" pivotButton="0" quotePrefix="0" xfId="1">
      <alignment horizontal="center" vertical="center"/>
    </xf>
    <xf numFmtId="0" fontId="5" fillId="0" borderId="3" applyAlignment="1" pivotButton="0" quotePrefix="0" xfId="2">
      <alignment horizontal="center" vertical="center"/>
    </xf>
  </cellXfs>
  <cellStyles count="3">
    <cellStyle name="常规" xfId="0" builtinId="0"/>
    <cellStyle name="header_default" xfId="1" hidden="0"/>
    <cellStyle name="data_default" xfId="2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19.8" customWidth="1" min="2" max="2"/>
    <col width="19.8" customWidth="1" min="3" max="3"/>
    <col width="8.800000000000001" customWidth="1" min="4" max="4"/>
    <col width="15.4" customWidth="1" min="5" max="5"/>
    <col width="11" customWidth="1" min="6" max="6"/>
    <col width="13.2" customWidth="1" min="7" max="7"/>
    <col width="24.2" customWidth="1" min="8" max="8"/>
    <col width="13.2" customWidth="1" min="9" max="9"/>
    <col width="17.6" customWidth="1" min="10" max="10"/>
    <col width="17.6" customWidth="1" min="11" max="11"/>
    <col width="19.8" customWidth="1" min="12" max="12"/>
    <col width="30.8" customWidth="1" min="13" max="13"/>
  </cols>
  <sheetData>
    <row r="1">
      <c r="A1" s="3" t="inlineStr">
        <is>
          <t>##var</t>
        </is>
      </c>
      <c r="B1" s="3" t="inlineStr">
        <is>
          <t>角色等级和波次</t>
        </is>
      </c>
      <c r="C1" s="3" t="inlineStr">
        <is>
          <t>时间点_30s</t>
        </is>
      </c>
      <c r="D1" s="3" t="inlineStr">
        <is>
          <t>阵容</t>
        </is>
      </c>
      <c r="E1" s="3" t="inlineStr">
        <is>
          <t>选技能次数</t>
        </is>
      </c>
      <c r="F1" s="3" t="inlineStr">
        <is>
          <t>总次数</t>
        </is>
      </c>
      <c r="G1" s="3" t="inlineStr">
        <is>
          <t>消除倍率</t>
        </is>
      </c>
      <c r="H1" s="3" t="inlineStr">
        <is>
          <t>每块小兵增加期望值</t>
        </is>
      </c>
      <c r="I1" s="3" t="inlineStr">
        <is>
          <t>初始战力</t>
        </is>
      </c>
      <c r="J1" s="3" t="inlineStr">
        <is>
          <t>当前阵容战力</t>
        </is>
      </c>
      <c r="K1" s="3" t="inlineStr">
        <is>
          <t>战力产出效率</t>
        </is>
      </c>
      <c r="L1" s="3" t="inlineStr">
        <is>
          <t>每波怪物总战力</t>
        </is>
      </c>
      <c r="M1" s="3" t="inlineStr">
        <is>
          <t>平均相当于多少个上阵角色</t>
        </is>
      </c>
    </row>
    <row r="2">
      <c r="A2" s="3" t="inlineStr">
        <is>
          <t>##type</t>
        </is>
      </c>
      <c r="B2" s="3" t="inlineStr">
        <is>
          <t>int</t>
        </is>
      </c>
      <c r="C2" s="3" t="inlineStr">
        <is>
          <t>float</t>
        </is>
      </c>
      <c r="D2" s="3" t="inlineStr">
        <is>
          <t>string</t>
        </is>
      </c>
      <c r="E2" s="3" t="inlineStr">
        <is>
          <t>int</t>
        </is>
      </c>
      <c r="F2" s="3" t="inlineStr">
        <is>
          <t>int</t>
        </is>
      </c>
      <c r="G2" s="3" t="inlineStr">
        <is>
          <t>float</t>
        </is>
      </c>
      <c r="H2" s="3" t="inlineStr">
        <is>
          <t>float</t>
        </is>
      </c>
      <c r="I2" s="3" t="inlineStr">
        <is>
          <t>float</t>
        </is>
      </c>
      <c r="J2" s="3" t="inlineStr">
        <is>
          <t>float</t>
        </is>
      </c>
      <c r="K2" s="3" t="inlineStr">
        <is>
          <t>float</t>
        </is>
      </c>
      <c r="L2" s="3" t="inlineStr">
        <is>
          <t>float</t>
        </is>
      </c>
      <c r="M2" s="3" t="inlineStr">
        <is>
          <t>float</t>
        </is>
      </c>
    </row>
    <row r="3">
      <c r="A3" s="3" t="inlineStr">
        <is>
          <t>##</t>
        </is>
      </c>
      <c r="B3" s="3" t="inlineStr">
        <is>
          <t>角色等级和波次</t>
        </is>
      </c>
      <c r="C3" s="3" t="inlineStr">
        <is>
          <t>时间点_30s</t>
        </is>
      </c>
      <c r="D3" s="3" t="inlineStr">
        <is>
          <t>阵容</t>
        </is>
      </c>
      <c r="E3" s="3" t="inlineStr">
        <is>
          <t>选技能次数</t>
        </is>
      </c>
      <c r="F3" s="3" t="inlineStr">
        <is>
          <t>总次数</t>
        </is>
      </c>
      <c r="G3" s="3" t="inlineStr">
        <is>
          <t>消除倍率</t>
        </is>
      </c>
      <c r="H3" s="3" t="inlineStr">
        <is>
          <t>每块小兵增加期望值</t>
        </is>
      </c>
      <c r="I3" s="3" t="inlineStr">
        <is>
          <t>初始战力</t>
        </is>
      </c>
      <c r="J3" s="3" t="inlineStr">
        <is>
          <t>当前阵容战力</t>
        </is>
      </c>
      <c r="K3" s="3" t="inlineStr">
        <is>
          <t>战力产出效率</t>
        </is>
      </c>
      <c r="L3" s="3" t="inlineStr">
        <is>
          <t>每波怪物总战力</t>
        </is>
      </c>
      <c r="M3" s="3" t="inlineStr">
        <is>
          <t>平均相当于多少个上阵角色</t>
        </is>
      </c>
    </row>
    <row r="4">
      <c r="B4" s="4" t="n">
        <v>2001</v>
      </c>
      <c r="C4" s="4" t="n">
        <v>30</v>
      </c>
      <c r="D4" s="4" t="inlineStr">
        <is>
          <t>['弓箭手', '士兵', '弓']</t>
        </is>
      </c>
      <c r="E4" s="4" t="n">
        <v>1</v>
      </c>
      <c r="F4" s="4">
        <f>SUM($E$4:$E4)</f>
        <v/>
      </c>
      <c r="G4" s="4" t="n">
        <v>1</v>
      </c>
      <c r="H4" s="4" t="n">
        <v>0</v>
      </c>
      <c r="I4" s="4" t="n">
        <v>477524.3</v>
      </c>
      <c r="J4" s="4" t="n">
        <v>505502.1</v>
      </c>
      <c r="K4" s="4" t="n">
        <v>71754.60000000001</v>
      </c>
      <c r="L4" s="4">
        <f>$K$4*30</f>
        <v/>
      </c>
      <c r="M4" s="4">
        <f>ROUND($L$4/($J$4/3),0)</f>
        <v/>
      </c>
    </row>
    <row r="5">
      <c r="B5" s="4" t="n">
        <v>2002</v>
      </c>
      <c r="C5" s="4" t="n">
        <v>60</v>
      </c>
      <c r="D5" s="4" t="inlineStr">
        <is>
          <t>['弓箭手', '士兵', '弓']</t>
        </is>
      </c>
      <c r="E5" s="4" t="n">
        <v>2</v>
      </c>
      <c r="F5" s="4">
        <f>SUM($E$4:$E5)</f>
        <v/>
      </c>
      <c r="G5" s="4" t="n">
        <v>1.1</v>
      </c>
      <c r="H5" s="4" t="n">
        <v>0.1</v>
      </c>
      <c r="I5" s="4" t="n">
        <v>477524.3</v>
      </c>
      <c r="J5" s="4" t="n">
        <v>562873</v>
      </c>
      <c r="K5" s="4" t="n">
        <v>90204.39999999999</v>
      </c>
      <c r="L5" s="4">
        <f>$K$5*30</f>
        <v/>
      </c>
      <c r="M5" s="4">
        <f>ROUND($L$5/($J$5/3),0)</f>
        <v/>
      </c>
    </row>
    <row r="6">
      <c r="B6" s="4" t="n">
        <v>2003</v>
      </c>
      <c r="C6" s="4" t="n">
        <v>90</v>
      </c>
      <c r="D6" s="4" t="inlineStr">
        <is>
          <t>['弓箭手', '士兵', '弓']</t>
        </is>
      </c>
      <c r="E6" s="4" t="n">
        <v>1</v>
      </c>
      <c r="F6" s="4">
        <f>SUM($E$4:$E6)</f>
        <v/>
      </c>
      <c r="G6" s="4" t="n">
        <v>1.1</v>
      </c>
      <c r="H6" s="4" t="n">
        <v>0.2</v>
      </c>
      <c r="I6" s="4" t="n">
        <v>477524.3</v>
      </c>
      <c r="J6" s="4" t="n">
        <v>592266.1</v>
      </c>
      <c r="K6" s="4" t="n">
        <v>100672.7</v>
      </c>
      <c r="L6" s="4">
        <f>$K$6*30</f>
        <v/>
      </c>
      <c r="M6" s="4">
        <f>ROUND($L$6/($J$6/3),0)</f>
        <v/>
      </c>
    </row>
    <row r="7">
      <c r="B7" s="4" t="n">
        <v>2004</v>
      </c>
      <c r="C7" s="4" t="n">
        <v>120</v>
      </c>
      <c r="D7" s="4" t="inlineStr">
        <is>
          <t>['弓箭手', '士兵', '弓']</t>
        </is>
      </c>
      <c r="E7" s="4" t="n">
        <v>1</v>
      </c>
      <c r="F7" s="4">
        <f>SUM($E$4:$E7)</f>
        <v/>
      </c>
      <c r="G7" s="4" t="n">
        <v>1.1</v>
      </c>
      <c r="H7" s="4" t="n">
        <v>0.2</v>
      </c>
      <c r="I7" s="4" t="n">
        <v>477524.3</v>
      </c>
      <c r="J7" s="4" t="n">
        <v>622131</v>
      </c>
      <c r="K7" s="4" t="n">
        <v>112043.5</v>
      </c>
      <c r="L7" s="4">
        <f>$K$7*30</f>
        <v/>
      </c>
      <c r="M7" s="4">
        <f>ROUND($L$7/($J$7/3),0)</f>
        <v/>
      </c>
    </row>
    <row r="8">
      <c r="B8" s="4" t="n">
        <v>2005</v>
      </c>
      <c r="C8" s="4" t="n">
        <v>150</v>
      </c>
      <c r="D8" s="4" t="inlineStr">
        <is>
          <t>['弓箭手', '士兵', '弓']</t>
        </is>
      </c>
      <c r="E8" s="4" t="n">
        <v>1</v>
      </c>
      <c r="F8" s="4">
        <f>SUM($E$4:$E8)</f>
        <v/>
      </c>
      <c r="G8" s="4" t="n">
        <v>1.2</v>
      </c>
      <c r="H8" s="4" t="n">
        <v>0.2</v>
      </c>
      <c r="I8" s="4" t="n">
        <v>477524.3</v>
      </c>
      <c r="J8" s="4" t="n">
        <v>652467.7</v>
      </c>
      <c r="K8" s="4" t="n">
        <v>124375.6</v>
      </c>
      <c r="L8" s="4">
        <f>$K$8*30</f>
        <v/>
      </c>
      <c r="M8" s="4">
        <f>ROUND($L$8/($J$8/3),0)</f>
        <v/>
      </c>
    </row>
    <row r="9">
      <c r="B9" s="4" t="n">
        <v>2006</v>
      </c>
      <c r="C9" s="4" t="n">
        <v>180</v>
      </c>
      <c r="D9" s="4" t="inlineStr">
        <is>
          <t>['弓箭手', '士兵', '弓']</t>
        </is>
      </c>
      <c r="E9" s="4" t="n">
        <v>1</v>
      </c>
      <c r="F9" s="4">
        <f>SUM($E$4:$E9)</f>
        <v/>
      </c>
      <c r="G9" s="4" t="n">
        <v>1.2</v>
      </c>
      <c r="H9" s="4" t="n">
        <v>0.3</v>
      </c>
      <c r="I9" s="4" t="n">
        <v>477524.3</v>
      </c>
      <c r="J9" s="4" t="n">
        <v>683276.1</v>
      </c>
      <c r="K9" s="4" t="n">
        <v>137731.1</v>
      </c>
      <c r="L9" s="4">
        <f>$K$9*30</f>
        <v/>
      </c>
      <c r="M9" s="4">
        <f>ROUND($L$9/($J$9/3),0)</f>
        <v/>
      </c>
    </row>
    <row r="10">
      <c r="B10" s="4" t="n">
        <v>2007</v>
      </c>
      <c r="C10" s="4" t="n">
        <v>210</v>
      </c>
      <c r="D10" s="4" t="inlineStr">
        <is>
          <t>['弓箭手', '士兵', '弓']</t>
        </is>
      </c>
      <c r="E10" s="4" t="n">
        <v>2</v>
      </c>
      <c r="F10" s="4">
        <f>SUM($E$4:$E10)</f>
        <v/>
      </c>
      <c r="G10" s="4" t="n">
        <v>1.3</v>
      </c>
      <c r="H10" s="4" t="n">
        <v>0.3</v>
      </c>
      <c r="I10" s="4" t="n">
        <v>477524.3</v>
      </c>
      <c r="J10" s="4" t="n">
        <v>746308.2</v>
      </c>
      <c r="K10" s="4" t="n">
        <v>167777.3</v>
      </c>
      <c r="L10" s="4">
        <f>$K$10*30</f>
        <v/>
      </c>
      <c r="M10" s="4">
        <f>ROUND($L$10/($J$10/3),0)</f>
        <v/>
      </c>
    </row>
    <row r="11">
      <c r="B11" s="4" t="n">
        <v>2008</v>
      </c>
      <c r="C11" s="4" t="n">
        <v>240</v>
      </c>
      <c r="D11" s="4" t="inlineStr">
        <is>
          <t>['弓箭手', '士兵', '弓']</t>
        </is>
      </c>
      <c r="E11" s="4" t="n">
        <v>1</v>
      </c>
      <c r="F11" s="4">
        <f>SUM($E$4:$E11)</f>
        <v/>
      </c>
      <c r="G11" s="4" t="n">
        <v>1.3</v>
      </c>
      <c r="H11" s="4" t="n">
        <v>0.4</v>
      </c>
      <c r="I11" s="4" t="n">
        <v>477524.3</v>
      </c>
      <c r="J11" s="4" t="n">
        <v>778531.9</v>
      </c>
      <c r="K11" s="4" t="n">
        <v>184609.1</v>
      </c>
      <c r="L11" s="4">
        <f>$K$11*30</f>
        <v/>
      </c>
      <c r="M11" s="4">
        <f>ROUND($L$11/($J$11/3),0)</f>
        <v/>
      </c>
    </row>
    <row r="12">
      <c r="B12" s="4" t="n">
        <v>2009</v>
      </c>
      <c r="C12" s="4" t="n">
        <v>270</v>
      </c>
      <c r="D12" s="4" t="inlineStr">
        <is>
          <t>['弓箭手', '士兵', '弓']</t>
        </is>
      </c>
      <c r="E12" s="4" t="n">
        <v>1</v>
      </c>
      <c r="F12" s="4">
        <f>SUM($E$4:$E12)</f>
        <v/>
      </c>
      <c r="G12" s="4" t="n">
        <v>1.3</v>
      </c>
      <c r="H12" s="4" t="n">
        <v>0.4</v>
      </c>
      <c r="I12" s="4" t="n">
        <v>477524.3</v>
      </c>
      <c r="J12" s="4" t="n">
        <v>811227.4</v>
      </c>
      <c r="K12" s="4" t="n">
        <v>202747.2</v>
      </c>
      <c r="L12" s="4">
        <f>$K$12*30</f>
        <v/>
      </c>
      <c r="M12" s="4">
        <f>ROUND($L$12/($J$12/3),0)</f>
        <v/>
      </c>
    </row>
    <row r="13">
      <c r="B13" s="4" t="n">
        <v>2010</v>
      </c>
      <c r="C13" s="4" t="n">
        <v>300</v>
      </c>
      <c r="D13" s="4" t="inlineStr">
        <is>
          <t>['弓箭手', '士兵', '弓']</t>
        </is>
      </c>
      <c r="E13" s="4" t="n">
        <v>1</v>
      </c>
      <c r="F13" s="4">
        <f>SUM($E$4:$E13)</f>
        <v/>
      </c>
      <c r="G13" s="4" t="n">
        <v>1.4</v>
      </c>
      <c r="H13" s="4" t="n">
        <v>0.5</v>
      </c>
      <c r="I13" s="4" t="n">
        <v>477524.3</v>
      </c>
      <c r="J13" s="4" t="n">
        <v>844394.6</v>
      </c>
      <c r="K13" s="4" t="n">
        <v>222271.5</v>
      </c>
      <c r="L13" s="4">
        <f>$K$13*30</f>
        <v/>
      </c>
      <c r="M13" s="4">
        <f>ROUND($L$13/($J$13/3),0)</f>
        <v/>
      </c>
    </row>
    <row r="14">
      <c r="B14" s="4" t="n">
        <v>2011</v>
      </c>
      <c r="C14" s="4" t="n">
        <v>330</v>
      </c>
      <c r="D14" s="4" t="inlineStr">
        <is>
          <t>['弓箭手', '士兵', '弓']</t>
        </is>
      </c>
      <c r="E14" s="4" t="n">
        <v>1</v>
      </c>
      <c r="F14" s="4">
        <f>SUM($E$4:$E14)</f>
        <v/>
      </c>
      <c r="G14" s="4" t="n">
        <v>1.4</v>
      </c>
      <c r="H14" s="4" t="n">
        <v>0.5</v>
      </c>
      <c r="I14" s="4" t="n">
        <v>477524.3</v>
      </c>
      <c r="J14" s="4" t="n">
        <v>878033.6</v>
      </c>
      <c r="K14" s="4" t="n">
        <v>243266.5</v>
      </c>
      <c r="L14" s="4">
        <f>$K$14*30</f>
        <v/>
      </c>
      <c r="M14" s="4">
        <f>ROUND($L$14/($J$14/3),0)</f>
        <v/>
      </c>
    </row>
    <row r="15">
      <c r="B15" s="4" t="n">
        <v>2012</v>
      </c>
      <c r="C15" s="4" t="n">
        <v>360</v>
      </c>
      <c r="D15" s="4" t="inlineStr">
        <is>
          <t>['弓箭手', '士兵', '弓']</t>
        </is>
      </c>
      <c r="E15" s="4" t="n">
        <v>1</v>
      </c>
      <c r="F15" s="4">
        <f>SUM($E$4:$E15)</f>
        <v/>
      </c>
      <c r="G15" s="4" t="n">
        <v>1.4</v>
      </c>
      <c r="H15" s="4" t="n">
        <v>0.5</v>
      </c>
      <c r="I15" s="4" t="n">
        <v>477524.3</v>
      </c>
      <c r="J15" s="4" t="n">
        <v>912144.4</v>
      </c>
      <c r="K15" s="4" t="n">
        <v>265820.8</v>
      </c>
      <c r="L15" s="4">
        <f>$K$15*30</f>
        <v/>
      </c>
      <c r="M15" s="4">
        <f>ROUND($L$15/($J$15/3),0)</f>
        <v/>
      </c>
    </row>
    <row r="16">
      <c r="B16" s="4" t="n">
        <v>2013</v>
      </c>
      <c r="C16" s="4" t="n">
        <v>390</v>
      </c>
      <c r="D16" s="4" t="inlineStr">
        <is>
          <t>['弓箭手', '士兵', '弓']</t>
        </is>
      </c>
      <c r="E16" s="4" t="n">
        <v>1</v>
      </c>
      <c r="F16" s="4">
        <f>SUM($E$4:$E16)</f>
        <v/>
      </c>
      <c r="G16" s="4" t="n">
        <v>1.5</v>
      </c>
      <c r="H16" s="4" t="n">
        <v>0.6</v>
      </c>
      <c r="I16" s="4" t="n">
        <v>477524.3</v>
      </c>
      <c r="J16" s="4" t="n">
        <v>946726.9</v>
      </c>
      <c r="K16" s="4" t="n">
        <v>290027.6</v>
      </c>
      <c r="L16" s="4">
        <f>$K$16*30</f>
        <v/>
      </c>
      <c r="M16" s="4">
        <f>ROUND($L$16/($J$16/3),0)</f>
        <v/>
      </c>
    </row>
    <row r="17">
      <c r="B17" s="4" t="n">
        <v>2014</v>
      </c>
      <c r="C17" s="4" t="n">
        <v>420</v>
      </c>
      <c r="D17" s="4" t="inlineStr">
        <is>
          <t>['弓箭手', '士兵', '弓']</t>
        </is>
      </c>
      <c r="E17" s="4" t="n">
        <v>1</v>
      </c>
      <c r="F17" s="4">
        <f>SUM($E$4:$E17)</f>
        <v/>
      </c>
      <c r="G17" s="4" t="n">
        <v>1.5</v>
      </c>
      <c r="H17" s="4" t="n">
        <v>0.6</v>
      </c>
      <c r="I17" s="4" t="n">
        <v>477524.3</v>
      </c>
      <c r="J17" s="4" t="n">
        <v>981781.2</v>
      </c>
      <c r="K17" s="4" t="n">
        <v>315984.6</v>
      </c>
      <c r="L17" s="4">
        <f>$K$17*30</f>
        <v/>
      </c>
      <c r="M17" s="4">
        <f>ROUND($L$17/($J$17/3),0)</f>
        <v/>
      </c>
    </row>
    <row r="18">
      <c r="B18" s="4" t="n">
        <v>2015</v>
      </c>
      <c r="C18" s="4" t="n">
        <v>450</v>
      </c>
      <c r="D18" s="4" t="inlineStr">
        <is>
          <t>['弓箭手', '士兵', '弓']</t>
        </is>
      </c>
      <c r="E18" s="4" t="n">
        <v>1</v>
      </c>
      <c r="F18" s="4">
        <f>SUM($E$4:$E18)</f>
        <v/>
      </c>
      <c r="G18" s="4" t="n">
        <v>1.5</v>
      </c>
      <c r="H18" s="4" t="n">
        <v>0.6</v>
      </c>
      <c r="I18" s="4" t="n">
        <v>477524.3</v>
      </c>
      <c r="J18" s="4" t="n">
        <v>1017307.3</v>
      </c>
      <c r="K18" s="4" t="n">
        <v>343794.9</v>
      </c>
      <c r="L18" s="4">
        <f>$K$18*30</f>
        <v/>
      </c>
      <c r="M18" s="4">
        <f>ROUND($L$18/($J$18/3),0)</f>
        <v/>
      </c>
    </row>
    <row r="19">
      <c r="B19" s="4" t="n">
        <v>2016</v>
      </c>
      <c r="C19" s="4" t="n">
        <v>480</v>
      </c>
      <c r="D19" s="4" t="inlineStr">
        <is>
          <t>['弓箭手', '士兵', '弓']</t>
        </is>
      </c>
      <c r="E19" s="4" t="n">
        <v>1</v>
      </c>
      <c r="F19" s="4">
        <f>SUM($E$4:$E19)</f>
        <v/>
      </c>
      <c r="G19" s="4" t="n">
        <v>1.6</v>
      </c>
      <c r="H19" s="4" t="n">
        <v>0.7</v>
      </c>
      <c r="I19" s="4" t="n">
        <v>477524.3</v>
      </c>
      <c r="J19" s="4" t="n">
        <v>1053305.2</v>
      </c>
      <c r="K19" s="4" t="n">
        <v>373566.3</v>
      </c>
      <c r="L19" s="4">
        <f>$K$19*30</f>
        <v/>
      </c>
      <c r="M19" s="4">
        <f>ROUND($L$19/($J$19/3),0)</f>
        <v/>
      </c>
    </row>
    <row r="20">
      <c r="B20" s="4" t="n">
        <v>2017</v>
      </c>
      <c r="C20" s="4" t="n">
        <v>510</v>
      </c>
      <c r="D20" s="4" t="inlineStr">
        <is>
          <t>['弓箭手', '士兵', '弓']</t>
        </is>
      </c>
      <c r="E20" s="4" t="n">
        <v>0</v>
      </c>
      <c r="F20" s="4">
        <f>SUM($E$4:$E20)</f>
        <v/>
      </c>
      <c r="G20" s="4" t="n">
        <v>1.6</v>
      </c>
      <c r="H20" s="4" t="n">
        <v>0.7</v>
      </c>
      <c r="I20" s="4" t="n">
        <v>477524.3</v>
      </c>
      <c r="J20" s="4" t="n">
        <v>1053305.2</v>
      </c>
      <c r="K20" s="4" t="n">
        <v>373566.3</v>
      </c>
      <c r="L20" s="4">
        <f>$K$20*30</f>
        <v/>
      </c>
      <c r="M20" s="4">
        <f>ROUND($L$20/($J$20/3),0)</f>
        <v/>
      </c>
    </row>
    <row r="21">
      <c r="B21" s="4" t="n">
        <v>2018</v>
      </c>
      <c r="C21" s="4" t="n">
        <v>540</v>
      </c>
      <c r="D21" s="4" t="inlineStr">
        <is>
          <t>['弓箭手', '士兵', '弓']</t>
        </is>
      </c>
      <c r="E21" s="4" t="n">
        <v>1</v>
      </c>
      <c r="F21" s="4">
        <f>SUM($E$4:$E21)</f>
        <v/>
      </c>
      <c r="G21" s="4" t="n">
        <v>1.6</v>
      </c>
      <c r="H21" s="4" t="n">
        <v>0.7</v>
      </c>
      <c r="I21" s="4" t="n">
        <v>477524.3</v>
      </c>
      <c r="J21" s="4" t="n">
        <v>1089774.8</v>
      </c>
      <c r="K21" s="4" t="n">
        <v>405412.4</v>
      </c>
      <c r="L21" s="4">
        <f>$K$21*30</f>
        <v/>
      </c>
      <c r="M21" s="4">
        <f>ROUND($L$21/($J$21/3),0)</f>
        <v/>
      </c>
    </row>
    <row r="22">
      <c r="B22" s="4" t="n">
        <v>2019</v>
      </c>
      <c r="C22" s="4" t="n">
        <v>570</v>
      </c>
      <c r="D22" s="4" t="inlineStr">
        <is>
          <t>['弓箭手', '士兵', '弓']</t>
        </is>
      </c>
      <c r="E22" s="4" t="n">
        <v>1</v>
      </c>
      <c r="F22" s="4">
        <f>SUM($E$4:$E22)</f>
        <v/>
      </c>
      <c r="G22" s="4" t="n">
        <v>1.7</v>
      </c>
      <c r="H22" s="4" t="n">
        <v>0.8</v>
      </c>
      <c r="I22" s="4" t="n">
        <v>477524.3</v>
      </c>
      <c r="J22" s="4" t="n">
        <v>1126716.1</v>
      </c>
      <c r="K22" s="4" t="n">
        <v>439452.1</v>
      </c>
      <c r="L22" s="4">
        <f>$K$22*30</f>
        <v/>
      </c>
      <c r="M22" s="4">
        <f>ROUND($L$22/($J$22/3),0)</f>
        <v/>
      </c>
    </row>
    <row r="23">
      <c r="B23" s="4" t="n">
        <v>2020</v>
      </c>
      <c r="C23" s="4" t="n">
        <v>600</v>
      </c>
      <c r="D23" s="4" t="inlineStr">
        <is>
          <t>['弓箭手', '士兵', '弓']</t>
        </is>
      </c>
      <c r="E23" s="4" t="n">
        <v>1</v>
      </c>
      <c r="F23" s="4">
        <f>SUM($E$4:$E23)</f>
        <v/>
      </c>
      <c r="G23" s="4" t="n">
        <v>1.7</v>
      </c>
      <c r="H23" s="4" t="n">
        <v>0.8</v>
      </c>
      <c r="I23" s="4" t="n">
        <v>477524.3</v>
      </c>
      <c r="J23" s="4" t="n">
        <v>1164129.3</v>
      </c>
      <c r="K23" s="4" t="n">
        <v>475810.4</v>
      </c>
      <c r="L23" s="4">
        <f>$K$23*30</f>
        <v/>
      </c>
      <c r="M23" s="4">
        <f>ROUND($L$23/($J$23/3),0)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19.8" customWidth="1" min="2" max="2"/>
    <col width="19.8" customWidth="1" min="3" max="3"/>
    <col width="8.800000000000001" customWidth="1" min="4" max="4"/>
    <col width="15.4" customWidth="1" min="5" max="5"/>
    <col width="11" customWidth="1" min="6" max="6"/>
    <col width="13.2" customWidth="1" min="7" max="7"/>
    <col width="24.2" customWidth="1" min="8" max="8"/>
    <col width="13.2" customWidth="1" min="9" max="9"/>
    <col width="17.6" customWidth="1" min="10" max="10"/>
    <col width="17.6" customWidth="1" min="11" max="11"/>
    <col width="19.8" customWidth="1" min="12" max="12"/>
    <col width="30.8" customWidth="1" min="13" max="13"/>
  </cols>
  <sheetData>
    <row r="1">
      <c r="A1" s="3" t="inlineStr">
        <is>
          <t>##var</t>
        </is>
      </c>
      <c r="B1" s="3" t="inlineStr">
        <is>
          <t>角色等级和波次</t>
        </is>
      </c>
      <c r="C1" s="3" t="inlineStr">
        <is>
          <t>时间点_30s</t>
        </is>
      </c>
      <c r="D1" s="3" t="inlineStr">
        <is>
          <t>阵容</t>
        </is>
      </c>
      <c r="E1" s="3" t="inlineStr">
        <is>
          <t>选技能次数</t>
        </is>
      </c>
      <c r="F1" s="3" t="inlineStr">
        <is>
          <t>总次数</t>
        </is>
      </c>
      <c r="G1" s="3" t="inlineStr">
        <is>
          <t>消除倍率</t>
        </is>
      </c>
      <c r="H1" s="3" t="inlineStr">
        <is>
          <t>每块小兵增加期望值</t>
        </is>
      </c>
      <c r="I1" s="3" t="inlineStr">
        <is>
          <t>初始战力</t>
        </is>
      </c>
      <c r="J1" s="3" t="inlineStr">
        <is>
          <t>当前阵容战力</t>
        </is>
      </c>
      <c r="K1" s="3" t="inlineStr">
        <is>
          <t>战力产出效率</t>
        </is>
      </c>
      <c r="L1" s="3" t="inlineStr">
        <is>
          <t>每波怪物总战力</t>
        </is>
      </c>
      <c r="M1" s="3" t="inlineStr">
        <is>
          <t>平均相当于多少个上阵角色</t>
        </is>
      </c>
    </row>
    <row r="2">
      <c r="A2" s="3" t="inlineStr">
        <is>
          <t>##type</t>
        </is>
      </c>
      <c r="B2" s="3" t="inlineStr">
        <is>
          <t>int</t>
        </is>
      </c>
      <c r="C2" s="3" t="inlineStr">
        <is>
          <t>float</t>
        </is>
      </c>
      <c r="D2" s="3" t="inlineStr">
        <is>
          <t>string</t>
        </is>
      </c>
      <c r="E2" s="3" t="inlineStr">
        <is>
          <t>int</t>
        </is>
      </c>
      <c r="F2" s="3" t="inlineStr">
        <is>
          <t>int</t>
        </is>
      </c>
      <c r="G2" s="3" t="inlineStr">
        <is>
          <t>float</t>
        </is>
      </c>
      <c r="H2" s="3" t="inlineStr">
        <is>
          <t>float</t>
        </is>
      </c>
      <c r="I2" s="3" t="inlineStr">
        <is>
          <t>float</t>
        </is>
      </c>
      <c r="J2" s="3" t="inlineStr">
        <is>
          <t>float</t>
        </is>
      </c>
      <c r="K2" s="3" t="inlineStr">
        <is>
          <t>float</t>
        </is>
      </c>
      <c r="L2" s="3" t="inlineStr">
        <is>
          <t>float</t>
        </is>
      </c>
      <c r="M2" s="3" t="inlineStr">
        <is>
          <t>float</t>
        </is>
      </c>
    </row>
    <row r="3">
      <c r="A3" s="3" t="inlineStr">
        <is>
          <t>##</t>
        </is>
      </c>
      <c r="B3" s="3" t="inlineStr">
        <is>
          <t>角色等级和波次</t>
        </is>
      </c>
      <c r="C3" s="3" t="inlineStr">
        <is>
          <t>时间点_30s</t>
        </is>
      </c>
      <c r="D3" s="3" t="inlineStr">
        <is>
          <t>阵容</t>
        </is>
      </c>
      <c r="E3" s="3" t="inlineStr">
        <is>
          <t>选技能次数</t>
        </is>
      </c>
      <c r="F3" s="3" t="inlineStr">
        <is>
          <t>总次数</t>
        </is>
      </c>
      <c r="G3" s="3" t="inlineStr">
        <is>
          <t>消除倍率</t>
        </is>
      </c>
      <c r="H3" s="3" t="inlineStr">
        <is>
          <t>每块小兵增加期望值</t>
        </is>
      </c>
      <c r="I3" s="3" t="inlineStr">
        <is>
          <t>初始战力</t>
        </is>
      </c>
      <c r="J3" s="3" t="inlineStr">
        <is>
          <t>当前阵容战力</t>
        </is>
      </c>
      <c r="K3" s="3" t="inlineStr">
        <is>
          <t>战力产出效率</t>
        </is>
      </c>
      <c r="L3" s="3" t="inlineStr">
        <is>
          <t>每波怪物总战力</t>
        </is>
      </c>
      <c r="M3" s="3" t="inlineStr">
        <is>
          <t>平均相当于多少个上阵角色</t>
        </is>
      </c>
    </row>
    <row r="4">
      <c r="B4" s="4" t="n">
        <v>1901</v>
      </c>
      <c r="C4" s="4" t="n">
        <v>30</v>
      </c>
      <c r="D4" s="4" t="inlineStr">
        <is>
          <t>['弓箭手', '士兵', '弓']</t>
        </is>
      </c>
      <c r="E4" s="4" t="n">
        <v>1</v>
      </c>
      <c r="F4" s="4">
        <f>SUM($E$4:$E4)</f>
        <v/>
      </c>
      <c r="G4" s="4" t="n">
        <v>1</v>
      </c>
      <c r="H4" s="4" t="n">
        <v>0</v>
      </c>
      <c r="I4" s="4" t="n">
        <v>382019.4</v>
      </c>
      <c r="J4" s="4" t="n">
        <v>404401.7</v>
      </c>
      <c r="K4" s="4" t="n">
        <v>57403.7</v>
      </c>
      <c r="L4" s="4">
        <f>$K$4*30</f>
        <v/>
      </c>
      <c r="M4" s="4">
        <f>ROUND($L$4/($J$4/3),0)</f>
        <v/>
      </c>
    </row>
    <row r="5">
      <c r="B5" s="4" t="n">
        <v>1902</v>
      </c>
      <c r="C5" s="4" t="n">
        <v>60</v>
      </c>
      <c r="D5" s="4" t="inlineStr">
        <is>
          <t>['弓箭手', '士兵', '弓']</t>
        </is>
      </c>
      <c r="E5" s="4" t="n">
        <v>2</v>
      </c>
      <c r="F5" s="4">
        <f>SUM($E$4:$E5)</f>
        <v/>
      </c>
      <c r="G5" s="4" t="n">
        <v>1.1</v>
      </c>
      <c r="H5" s="4" t="n">
        <v>0.1</v>
      </c>
      <c r="I5" s="4" t="n">
        <v>382019.4</v>
      </c>
      <c r="J5" s="4" t="n">
        <v>450298.4</v>
      </c>
      <c r="K5" s="4" t="n">
        <v>72163.5</v>
      </c>
      <c r="L5" s="4">
        <f>$K$5*30</f>
        <v/>
      </c>
      <c r="M5" s="4">
        <f>ROUND($L$5/($J$5/3),0)</f>
        <v/>
      </c>
    </row>
    <row r="6">
      <c r="B6" s="4" t="n">
        <v>1903</v>
      </c>
      <c r="C6" s="4" t="n">
        <v>90</v>
      </c>
      <c r="D6" s="4" t="inlineStr">
        <is>
          <t>['弓箭手', '士兵', '弓']</t>
        </is>
      </c>
      <c r="E6" s="4" t="n">
        <v>1</v>
      </c>
      <c r="F6" s="4">
        <f>SUM($E$4:$E6)</f>
        <v/>
      </c>
      <c r="G6" s="4" t="n">
        <v>1.1</v>
      </c>
      <c r="H6" s="4" t="n">
        <v>0.2</v>
      </c>
      <c r="I6" s="4" t="n">
        <v>382019.4</v>
      </c>
      <c r="J6" s="4" t="n">
        <v>473812.9</v>
      </c>
      <c r="K6" s="4" t="n">
        <v>80538.2</v>
      </c>
      <c r="L6" s="4">
        <f>$K$6*30</f>
        <v/>
      </c>
      <c r="M6" s="4">
        <f>ROUND($L$6/($J$6/3),0)</f>
        <v/>
      </c>
    </row>
    <row r="7">
      <c r="B7" s="4" t="n">
        <v>1904</v>
      </c>
      <c r="C7" s="4" t="n">
        <v>120</v>
      </c>
      <c r="D7" s="4" t="inlineStr">
        <is>
          <t>['弓箭手', '士兵', '弓']</t>
        </is>
      </c>
      <c r="E7" s="4" t="n">
        <v>1</v>
      </c>
      <c r="F7" s="4">
        <f>SUM($E$4:$E7)</f>
        <v/>
      </c>
      <c r="G7" s="4" t="n">
        <v>1.1</v>
      </c>
      <c r="H7" s="4" t="n">
        <v>0.2</v>
      </c>
      <c r="I7" s="4" t="n">
        <v>382019.4</v>
      </c>
      <c r="J7" s="4" t="n">
        <v>497704.8</v>
      </c>
      <c r="K7" s="4" t="n">
        <v>89634.8</v>
      </c>
      <c r="L7" s="4">
        <f>$K$7*30</f>
        <v/>
      </c>
      <c r="M7" s="4">
        <f>ROUND($L$7/($J$7/3),0)</f>
        <v/>
      </c>
    </row>
    <row r="8">
      <c r="B8" s="4" t="n">
        <v>1905</v>
      </c>
      <c r="C8" s="4" t="n">
        <v>150</v>
      </c>
      <c r="D8" s="4" t="inlineStr">
        <is>
          <t>['弓箭手', '士兵', '弓']</t>
        </is>
      </c>
      <c r="E8" s="4" t="n">
        <v>1</v>
      </c>
      <c r="F8" s="4">
        <f>SUM($E$4:$E8)</f>
        <v/>
      </c>
      <c r="G8" s="4" t="n">
        <v>1.2</v>
      </c>
      <c r="H8" s="4" t="n">
        <v>0.2</v>
      </c>
      <c r="I8" s="4" t="n">
        <v>382019.4</v>
      </c>
      <c r="J8" s="4" t="n">
        <v>521974.1</v>
      </c>
      <c r="K8" s="4" t="n">
        <v>99500.5</v>
      </c>
      <c r="L8" s="4">
        <f>$K$8*30</f>
        <v/>
      </c>
      <c r="M8" s="4">
        <f>ROUND($L$8/($J$8/3),0)</f>
        <v/>
      </c>
    </row>
    <row r="9">
      <c r="B9" s="4" t="n">
        <v>1906</v>
      </c>
      <c r="C9" s="4" t="n">
        <v>180</v>
      </c>
      <c r="D9" s="4" t="inlineStr">
        <is>
          <t>['弓箭手', '士兵', '弓']</t>
        </is>
      </c>
      <c r="E9" s="4" t="n">
        <v>1</v>
      </c>
      <c r="F9" s="4">
        <f>SUM($E$4:$E9)</f>
        <v/>
      </c>
      <c r="G9" s="4" t="n">
        <v>1.2</v>
      </c>
      <c r="H9" s="4" t="n">
        <v>0.3</v>
      </c>
      <c r="I9" s="4" t="n">
        <v>382019.4</v>
      </c>
      <c r="J9" s="4" t="n">
        <v>546620.9</v>
      </c>
      <c r="K9" s="4" t="n">
        <v>110184.9</v>
      </c>
      <c r="L9" s="4">
        <f>$K$9*30</f>
        <v/>
      </c>
      <c r="M9" s="4">
        <f>ROUND($L$9/($J$9/3),0)</f>
        <v/>
      </c>
    </row>
    <row r="10">
      <c r="B10" s="4" t="n">
        <v>1907</v>
      </c>
      <c r="C10" s="4" t="n">
        <v>210</v>
      </c>
      <c r="D10" s="4" t="inlineStr">
        <is>
          <t>['弓箭手', '士兵', '弓']</t>
        </is>
      </c>
      <c r="E10" s="4" t="n">
        <v>2</v>
      </c>
      <c r="F10" s="4">
        <f>SUM($E$4:$E10)</f>
        <v/>
      </c>
      <c r="G10" s="4" t="n">
        <v>1.3</v>
      </c>
      <c r="H10" s="4" t="n">
        <v>0.3</v>
      </c>
      <c r="I10" s="4" t="n">
        <v>382019.4</v>
      </c>
      <c r="J10" s="4" t="n">
        <v>597046.5</v>
      </c>
      <c r="K10" s="4" t="n">
        <v>134221.8</v>
      </c>
      <c r="L10" s="4">
        <f>$K$10*30</f>
        <v/>
      </c>
      <c r="M10" s="4">
        <f>ROUND($L$10/($J$10/3),0)</f>
        <v/>
      </c>
    </row>
    <row r="11">
      <c r="B11" s="4" t="n">
        <v>1908</v>
      </c>
      <c r="C11" s="4" t="n">
        <v>240</v>
      </c>
      <c r="D11" s="4" t="inlineStr">
        <is>
          <t>['弓箭手', '士兵', '弓']</t>
        </is>
      </c>
      <c r="E11" s="4" t="n">
        <v>1</v>
      </c>
      <c r="F11" s="4">
        <f>SUM($E$4:$E11)</f>
        <v/>
      </c>
      <c r="G11" s="4" t="n">
        <v>1.3</v>
      </c>
      <c r="H11" s="4" t="n">
        <v>0.4</v>
      </c>
      <c r="I11" s="4" t="n">
        <v>382019.4</v>
      </c>
      <c r="J11" s="4" t="n">
        <v>622825.5</v>
      </c>
      <c r="K11" s="4" t="n">
        <v>147687.3</v>
      </c>
      <c r="L11" s="4">
        <f>$K$11*30</f>
        <v/>
      </c>
      <c r="M11" s="4">
        <f>ROUND($L$11/($J$11/3),0)</f>
        <v/>
      </c>
    </row>
    <row r="12">
      <c r="B12" s="4" t="n">
        <v>1909</v>
      </c>
      <c r="C12" s="4" t="n">
        <v>270</v>
      </c>
      <c r="D12" s="4" t="inlineStr">
        <is>
          <t>['弓箭手', '士兵', '弓']</t>
        </is>
      </c>
      <c r="E12" s="4" t="n">
        <v>1</v>
      </c>
      <c r="F12" s="4">
        <f>SUM($E$4:$E12)</f>
        <v/>
      </c>
      <c r="G12" s="4" t="n">
        <v>1.3</v>
      </c>
      <c r="H12" s="4" t="n">
        <v>0.4</v>
      </c>
      <c r="I12" s="4" t="n">
        <v>382019.4</v>
      </c>
      <c r="J12" s="4" t="n">
        <v>648981.9</v>
      </c>
      <c r="K12" s="4" t="n">
        <v>162197.7</v>
      </c>
      <c r="L12" s="4">
        <f>$K$12*30</f>
        <v/>
      </c>
      <c r="M12" s="4">
        <f>ROUND($L$12/($J$12/3),0)</f>
        <v/>
      </c>
    </row>
    <row r="13">
      <c r="B13" s="4" t="n">
        <v>1910</v>
      </c>
      <c r="C13" s="4" t="n">
        <v>300</v>
      </c>
      <c r="D13" s="4" t="inlineStr">
        <is>
          <t>['弓箭手', '士兵', '弓']</t>
        </is>
      </c>
      <c r="E13" s="4" t="n">
        <v>1</v>
      </c>
      <c r="F13" s="4">
        <f>SUM($E$4:$E13)</f>
        <v/>
      </c>
      <c r="G13" s="4" t="n">
        <v>1.4</v>
      </c>
      <c r="H13" s="4" t="n">
        <v>0.5</v>
      </c>
      <c r="I13" s="4" t="n">
        <v>382019.4</v>
      </c>
      <c r="J13" s="4" t="n">
        <v>675515.7</v>
      </c>
      <c r="K13" s="4" t="n">
        <v>177817.2</v>
      </c>
      <c r="L13" s="4">
        <f>$K$13*30</f>
        <v/>
      </c>
      <c r="M13" s="4">
        <f>ROUND($L$13/($J$13/3),0)</f>
        <v/>
      </c>
    </row>
    <row r="14">
      <c r="B14" s="4" t="n">
        <v>1911</v>
      </c>
      <c r="C14" s="4" t="n">
        <v>330</v>
      </c>
      <c r="D14" s="4" t="inlineStr">
        <is>
          <t>['弓箭手', '士兵', '弓']</t>
        </is>
      </c>
      <c r="E14" s="4" t="n">
        <v>1</v>
      </c>
      <c r="F14" s="4">
        <f>SUM($E$4:$E14)</f>
        <v/>
      </c>
      <c r="G14" s="4" t="n">
        <v>1.4</v>
      </c>
      <c r="H14" s="4" t="n">
        <v>0.5</v>
      </c>
      <c r="I14" s="4" t="n">
        <v>382019.4</v>
      </c>
      <c r="J14" s="4" t="n">
        <v>702426.9</v>
      </c>
      <c r="K14" s="4" t="n">
        <v>194613.2</v>
      </c>
      <c r="L14" s="4">
        <f>$K$14*30</f>
        <v/>
      </c>
      <c r="M14" s="4">
        <f>ROUND($L$14/($J$14/3),0)</f>
        <v/>
      </c>
    </row>
    <row r="15">
      <c r="B15" s="4" t="n">
        <v>1912</v>
      </c>
      <c r="C15" s="4" t="n">
        <v>360</v>
      </c>
      <c r="D15" s="4" t="inlineStr">
        <is>
          <t>['弓箭手', '士兵', '弓']</t>
        </is>
      </c>
      <c r="E15" s="4" t="n">
        <v>1</v>
      </c>
      <c r="F15" s="4">
        <f>SUM($E$4:$E15)</f>
        <v/>
      </c>
      <c r="G15" s="4" t="n">
        <v>1.4</v>
      </c>
      <c r="H15" s="4" t="n">
        <v>0.5</v>
      </c>
      <c r="I15" s="4" t="n">
        <v>382019.4</v>
      </c>
      <c r="J15" s="4" t="n">
        <v>729715.5</v>
      </c>
      <c r="K15" s="4" t="n">
        <v>212656.7</v>
      </c>
      <c r="L15" s="4">
        <f>$K$15*30</f>
        <v/>
      </c>
      <c r="M15" s="4">
        <f>ROUND($L$15/($J$15/3),0)</f>
        <v/>
      </c>
    </row>
    <row r="16">
      <c r="B16" s="4" t="n">
        <v>1913</v>
      </c>
      <c r="C16" s="4" t="n">
        <v>390</v>
      </c>
      <c r="D16" s="4" t="inlineStr">
        <is>
          <t>['弓箭手', '士兵', '弓']</t>
        </is>
      </c>
      <c r="E16" s="4" t="n">
        <v>1</v>
      </c>
      <c r="F16" s="4">
        <f>SUM($E$4:$E16)</f>
        <v/>
      </c>
      <c r="G16" s="4" t="n">
        <v>1.5</v>
      </c>
      <c r="H16" s="4" t="n">
        <v>0.6</v>
      </c>
      <c r="I16" s="4" t="n">
        <v>382019.4</v>
      </c>
      <c r="J16" s="4" t="n">
        <v>757381.5</v>
      </c>
      <c r="K16" s="4" t="n">
        <v>232022.1</v>
      </c>
      <c r="L16" s="4">
        <f>$K$16*30</f>
        <v/>
      </c>
      <c r="M16" s="4">
        <f>ROUND($L$16/($J$16/3),0)</f>
        <v/>
      </c>
    </row>
    <row r="17">
      <c r="B17" s="4" t="n">
        <v>1914</v>
      </c>
      <c r="C17" s="4" t="n">
        <v>420</v>
      </c>
      <c r="D17" s="4" t="inlineStr">
        <is>
          <t>['弓箭手', '士兵', '弓']</t>
        </is>
      </c>
      <c r="E17" s="4" t="n">
        <v>1</v>
      </c>
      <c r="F17" s="4">
        <f>SUM($E$4:$E17)</f>
        <v/>
      </c>
      <c r="G17" s="4" t="n">
        <v>1.5</v>
      </c>
      <c r="H17" s="4" t="n">
        <v>0.6</v>
      </c>
      <c r="I17" s="4" t="n">
        <v>382019.4</v>
      </c>
      <c r="J17" s="4" t="n">
        <v>785425</v>
      </c>
      <c r="K17" s="4" t="n">
        <v>252787.7</v>
      </c>
      <c r="L17" s="4">
        <f>$K$17*30</f>
        <v/>
      </c>
      <c r="M17" s="4">
        <f>ROUND($L$17/($J$17/3),0)</f>
        <v/>
      </c>
    </row>
    <row r="18">
      <c r="B18" s="4" t="n">
        <v>1915</v>
      </c>
      <c r="C18" s="4" t="n">
        <v>450</v>
      </c>
      <c r="D18" s="4" t="inlineStr">
        <is>
          <t>['弓箭手', '士兵', '弓']</t>
        </is>
      </c>
      <c r="E18" s="4" t="n">
        <v>1</v>
      </c>
      <c r="F18" s="4">
        <f>SUM($E$4:$E18)</f>
        <v/>
      </c>
      <c r="G18" s="4" t="n">
        <v>1.5</v>
      </c>
      <c r="H18" s="4" t="n">
        <v>0.6</v>
      </c>
      <c r="I18" s="4" t="n">
        <v>382019.4</v>
      </c>
      <c r="J18" s="4" t="n">
        <v>813845.9</v>
      </c>
      <c r="K18" s="4" t="n">
        <v>275035.9</v>
      </c>
      <c r="L18" s="4">
        <f>$K$18*30</f>
        <v/>
      </c>
      <c r="M18" s="4">
        <f>ROUND($L$18/($J$18/3),0)</f>
        <v/>
      </c>
    </row>
    <row r="19">
      <c r="B19" s="4" t="n">
        <v>1916</v>
      </c>
      <c r="C19" s="4" t="n">
        <v>480</v>
      </c>
      <c r="D19" s="4" t="inlineStr">
        <is>
          <t>['弓箭手', '士兵', '弓']</t>
        </is>
      </c>
      <c r="E19" s="4" t="n">
        <v>1</v>
      </c>
      <c r="F19" s="4">
        <f>SUM($E$4:$E19)</f>
        <v/>
      </c>
      <c r="G19" s="4" t="n">
        <v>1.6</v>
      </c>
      <c r="H19" s="4" t="n">
        <v>0.7</v>
      </c>
      <c r="I19" s="4" t="n">
        <v>382019.4</v>
      </c>
      <c r="J19" s="4" t="n">
        <v>842644.1</v>
      </c>
      <c r="K19" s="4" t="n">
        <v>298853.1</v>
      </c>
      <c r="L19" s="4">
        <f>$K$19*30</f>
        <v/>
      </c>
      <c r="M19" s="4">
        <f>ROUND($L$19/($J$19/3),0)</f>
        <v/>
      </c>
    </row>
    <row r="20">
      <c r="B20" s="4" t="n">
        <v>1917</v>
      </c>
      <c r="C20" s="4" t="n">
        <v>510</v>
      </c>
      <c r="D20" s="4" t="inlineStr">
        <is>
          <t>['弓箭手', '士兵', '弓']</t>
        </is>
      </c>
      <c r="E20" s="4" t="n">
        <v>0</v>
      </c>
      <c r="F20" s="4">
        <f>SUM($E$4:$E20)</f>
        <v/>
      </c>
      <c r="G20" s="4" t="n">
        <v>1.6</v>
      </c>
      <c r="H20" s="4" t="n">
        <v>0.7</v>
      </c>
      <c r="I20" s="4" t="n">
        <v>382019.4</v>
      </c>
      <c r="J20" s="4" t="n">
        <v>842644.1</v>
      </c>
      <c r="K20" s="4" t="n">
        <v>298853.1</v>
      </c>
      <c r="L20" s="4">
        <f>$K$20*30</f>
        <v/>
      </c>
      <c r="M20" s="4">
        <f>ROUND($L$20/($J$20/3),0)</f>
        <v/>
      </c>
    </row>
    <row r="21">
      <c r="B21" s="4" t="n">
        <v>1918</v>
      </c>
      <c r="C21" s="4" t="n">
        <v>540</v>
      </c>
      <c r="D21" s="4" t="inlineStr">
        <is>
          <t>['弓箭手', '士兵', '弓']</t>
        </is>
      </c>
      <c r="E21" s="4" t="n">
        <v>1</v>
      </c>
      <c r="F21" s="4">
        <f>SUM($E$4:$E21)</f>
        <v/>
      </c>
      <c r="G21" s="4" t="n">
        <v>1.6</v>
      </c>
      <c r="H21" s="4" t="n">
        <v>0.7</v>
      </c>
      <c r="I21" s="4" t="n">
        <v>382019.4</v>
      </c>
      <c r="J21" s="4" t="n">
        <v>871819.8</v>
      </c>
      <c r="K21" s="4" t="n">
        <v>324329.9</v>
      </c>
      <c r="L21" s="4">
        <f>$K$21*30</f>
        <v/>
      </c>
      <c r="M21" s="4">
        <f>ROUND($L$21/($J$21/3),0)</f>
        <v/>
      </c>
    </row>
    <row r="22">
      <c r="B22" s="4" t="n">
        <v>1919</v>
      </c>
      <c r="C22" s="4" t="n">
        <v>570</v>
      </c>
      <c r="D22" s="4" t="inlineStr">
        <is>
          <t>['弓箭手', '士兵', '弓']</t>
        </is>
      </c>
      <c r="E22" s="4" t="n">
        <v>1</v>
      </c>
      <c r="F22" s="4">
        <f>SUM($E$4:$E22)</f>
        <v/>
      </c>
      <c r="G22" s="4" t="n">
        <v>1.7</v>
      </c>
      <c r="H22" s="4" t="n">
        <v>0.8</v>
      </c>
      <c r="I22" s="4" t="n">
        <v>382019.4</v>
      </c>
      <c r="J22" s="4" t="n">
        <v>901372.9</v>
      </c>
      <c r="K22" s="4" t="n">
        <v>351561.7</v>
      </c>
      <c r="L22" s="4">
        <f>$K$22*30</f>
        <v/>
      </c>
      <c r="M22" s="4">
        <f>ROUND($L$22/($J$22/3),0)</f>
        <v/>
      </c>
    </row>
    <row r="23">
      <c r="B23" s="4" t="n">
        <v>1920</v>
      </c>
      <c r="C23" s="4" t="n">
        <v>600</v>
      </c>
      <c r="D23" s="4" t="inlineStr">
        <is>
          <t>['弓箭手', '士兵', '弓']</t>
        </is>
      </c>
      <c r="E23" s="4" t="n">
        <v>1</v>
      </c>
      <c r="F23" s="4">
        <f>SUM($E$4:$E23)</f>
        <v/>
      </c>
      <c r="G23" s="4" t="n">
        <v>1.7</v>
      </c>
      <c r="H23" s="4" t="n">
        <v>0.8</v>
      </c>
      <c r="I23" s="4" t="n">
        <v>382019.4</v>
      </c>
      <c r="J23" s="4" t="n">
        <v>931303.4</v>
      </c>
      <c r="K23" s="4" t="n">
        <v>380648.3</v>
      </c>
      <c r="L23" s="4">
        <f>$K$23*30</f>
        <v/>
      </c>
      <c r="M23" s="4">
        <f>ROUND($L$23/($J$23/3),0)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19.8" customWidth="1" min="2" max="2"/>
    <col width="19.8" customWidth="1" min="3" max="3"/>
    <col width="8.800000000000001" customWidth="1" min="4" max="4"/>
    <col width="15.4" customWidth="1" min="5" max="5"/>
    <col width="11" customWidth="1" min="6" max="6"/>
    <col width="13.2" customWidth="1" min="7" max="7"/>
    <col width="24.2" customWidth="1" min="8" max="8"/>
    <col width="13.2" customWidth="1" min="9" max="9"/>
    <col width="17.6" customWidth="1" min="10" max="10"/>
    <col width="17.6" customWidth="1" min="11" max="11"/>
    <col width="19.8" customWidth="1" min="12" max="12"/>
    <col width="30.8" customWidth="1" min="13" max="13"/>
  </cols>
  <sheetData>
    <row r="1">
      <c r="A1" s="3" t="inlineStr">
        <is>
          <t>##var</t>
        </is>
      </c>
      <c r="B1" s="3" t="inlineStr">
        <is>
          <t>角色等级和波次</t>
        </is>
      </c>
      <c r="C1" s="3" t="inlineStr">
        <is>
          <t>时间点_30s</t>
        </is>
      </c>
      <c r="D1" s="3" t="inlineStr">
        <is>
          <t>阵容</t>
        </is>
      </c>
      <c r="E1" s="3" t="inlineStr">
        <is>
          <t>选技能次数</t>
        </is>
      </c>
      <c r="F1" s="3" t="inlineStr">
        <is>
          <t>总次数</t>
        </is>
      </c>
      <c r="G1" s="3" t="inlineStr">
        <is>
          <t>消除倍率</t>
        </is>
      </c>
      <c r="H1" s="3" t="inlineStr">
        <is>
          <t>每块小兵增加期望值</t>
        </is>
      </c>
      <c r="I1" s="3" t="inlineStr">
        <is>
          <t>初始战力</t>
        </is>
      </c>
      <c r="J1" s="3" t="inlineStr">
        <is>
          <t>当前阵容战力</t>
        </is>
      </c>
      <c r="K1" s="3" t="inlineStr">
        <is>
          <t>战力产出效率</t>
        </is>
      </c>
      <c r="L1" s="3" t="inlineStr">
        <is>
          <t>每波怪物总战力</t>
        </is>
      </c>
      <c r="M1" s="3" t="inlineStr">
        <is>
          <t>平均相当于多少个上阵角色</t>
        </is>
      </c>
    </row>
    <row r="2">
      <c r="A2" s="3" t="inlineStr">
        <is>
          <t>##type</t>
        </is>
      </c>
      <c r="B2" s="3" t="inlineStr">
        <is>
          <t>int</t>
        </is>
      </c>
      <c r="C2" s="3" t="inlineStr">
        <is>
          <t>float</t>
        </is>
      </c>
      <c r="D2" s="3" t="inlineStr">
        <is>
          <t>string</t>
        </is>
      </c>
      <c r="E2" s="3" t="inlineStr">
        <is>
          <t>int</t>
        </is>
      </c>
      <c r="F2" s="3" t="inlineStr">
        <is>
          <t>int</t>
        </is>
      </c>
      <c r="G2" s="3" t="inlineStr">
        <is>
          <t>float</t>
        </is>
      </c>
      <c r="H2" s="3" t="inlineStr">
        <is>
          <t>float</t>
        </is>
      </c>
      <c r="I2" s="3" t="inlineStr">
        <is>
          <t>float</t>
        </is>
      </c>
      <c r="J2" s="3" t="inlineStr">
        <is>
          <t>float</t>
        </is>
      </c>
      <c r="K2" s="3" t="inlineStr">
        <is>
          <t>float</t>
        </is>
      </c>
      <c r="L2" s="3" t="inlineStr">
        <is>
          <t>float</t>
        </is>
      </c>
      <c r="M2" s="3" t="inlineStr">
        <is>
          <t>float</t>
        </is>
      </c>
    </row>
    <row r="3">
      <c r="A3" s="3" t="inlineStr">
        <is>
          <t>##</t>
        </is>
      </c>
      <c r="B3" s="3" t="inlineStr">
        <is>
          <t>角色等级和波次</t>
        </is>
      </c>
      <c r="C3" s="3" t="inlineStr">
        <is>
          <t>时间点_30s</t>
        </is>
      </c>
      <c r="D3" s="3" t="inlineStr">
        <is>
          <t>阵容</t>
        </is>
      </c>
      <c r="E3" s="3" t="inlineStr">
        <is>
          <t>选技能次数</t>
        </is>
      </c>
      <c r="F3" s="3" t="inlineStr">
        <is>
          <t>总次数</t>
        </is>
      </c>
      <c r="G3" s="3" t="inlineStr">
        <is>
          <t>消除倍率</t>
        </is>
      </c>
      <c r="H3" s="3" t="inlineStr">
        <is>
          <t>每块小兵增加期望值</t>
        </is>
      </c>
      <c r="I3" s="3" t="inlineStr">
        <is>
          <t>初始战力</t>
        </is>
      </c>
      <c r="J3" s="3" t="inlineStr">
        <is>
          <t>当前阵容战力</t>
        </is>
      </c>
      <c r="K3" s="3" t="inlineStr">
        <is>
          <t>战力产出效率</t>
        </is>
      </c>
      <c r="L3" s="3" t="inlineStr">
        <is>
          <t>每波怪物总战力</t>
        </is>
      </c>
      <c r="M3" s="3" t="inlineStr">
        <is>
          <t>平均相当于多少个上阵角色</t>
        </is>
      </c>
    </row>
    <row r="4">
      <c r="B4" s="4" t="n">
        <v>1801</v>
      </c>
      <c r="C4" s="4" t="n">
        <v>30</v>
      </c>
      <c r="D4" s="4" t="inlineStr">
        <is>
          <t>['弓箭手', '士兵', '弓']</t>
        </is>
      </c>
      <c r="E4" s="4" t="n">
        <v>1</v>
      </c>
      <c r="F4" s="4">
        <f>SUM($E$4:$E4)</f>
        <v/>
      </c>
      <c r="G4" s="4" t="n">
        <v>1</v>
      </c>
      <c r="H4" s="4" t="n">
        <v>0</v>
      </c>
      <c r="I4" s="4" t="n">
        <v>305615.5</v>
      </c>
      <c r="J4" s="4" t="n">
        <v>323521.3</v>
      </c>
      <c r="K4" s="4" t="n">
        <v>45923</v>
      </c>
      <c r="L4" s="4">
        <f>$K$4*30</f>
        <v/>
      </c>
      <c r="M4" s="4">
        <f>ROUND($L$4/($J$4/3),0)</f>
        <v/>
      </c>
    </row>
    <row r="5">
      <c r="B5" s="4" t="n">
        <v>1802</v>
      </c>
      <c r="C5" s="4" t="n">
        <v>60</v>
      </c>
      <c r="D5" s="4" t="inlineStr">
        <is>
          <t>['弓箭手', '士兵', '弓']</t>
        </is>
      </c>
      <c r="E5" s="4" t="n">
        <v>2</v>
      </c>
      <c r="F5" s="4">
        <f>SUM($E$4:$E5)</f>
        <v/>
      </c>
      <c r="G5" s="4" t="n">
        <v>1.1</v>
      </c>
      <c r="H5" s="4" t="n">
        <v>0.1</v>
      </c>
      <c r="I5" s="4" t="n">
        <v>305615.5</v>
      </c>
      <c r="J5" s="4" t="n">
        <v>360238.7</v>
      </c>
      <c r="K5" s="4" t="n">
        <v>57730.8</v>
      </c>
      <c r="L5" s="4">
        <f>$K$5*30</f>
        <v/>
      </c>
      <c r="M5" s="4">
        <f>ROUND($L$5/($J$5/3),0)</f>
        <v/>
      </c>
    </row>
    <row r="6">
      <c r="B6" s="4" t="n">
        <v>1803</v>
      </c>
      <c r="C6" s="4" t="n">
        <v>90</v>
      </c>
      <c r="D6" s="4" t="inlineStr">
        <is>
          <t>['弓箭手', '士兵', '弓']</t>
        </is>
      </c>
      <c r="E6" s="4" t="n">
        <v>1</v>
      </c>
      <c r="F6" s="4">
        <f>SUM($E$4:$E6)</f>
        <v/>
      </c>
      <c r="G6" s="4" t="n">
        <v>1.1</v>
      </c>
      <c r="H6" s="4" t="n">
        <v>0.2</v>
      </c>
      <c r="I6" s="4" t="n">
        <v>305615.5</v>
      </c>
      <c r="J6" s="4" t="n">
        <v>379050.3</v>
      </c>
      <c r="K6" s="4" t="n">
        <v>64430.5</v>
      </c>
      <c r="L6" s="4">
        <f>$K$6*30</f>
        <v/>
      </c>
      <c r="M6" s="4">
        <f>ROUND($L$6/($J$6/3),0)</f>
        <v/>
      </c>
    </row>
    <row r="7">
      <c r="B7" s="4" t="n">
        <v>1804</v>
      </c>
      <c r="C7" s="4" t="n">
        <v>120</v>
      </c>
      <c r="D7" s="4" t="inlineStr">
        <is>
          <t>['弓箭手', '士兵', '弓']</t>
        </is>
      </c>
      <c r="E7" s="4" t="n">
        <v>1</v>
      </c>
      <c r="F7" s="4">
        <f>SUM($E$4:$E7)</f>
        <v/>
      </c>
      <c r="G7" s="4" t="n">
        <v>1.1</v>
      </c>
      <c r="H7" s="4" t="n">
        <v>0.2</v>
      </c>
      <c r="I7" s="4" t="n">
        <v>305615.5</v>
      </c>
      <c r="J7" s="4" t="n">
        <v>398163.8</v>
      </c>
      <c r="K7" s="4" t="n">
        <v>71707.8</v>
      </c>
      <c r="L7" s="4">
        <f>$K$7*30</f>
        <v/>
      </c>
      <c r="M7" s="4">
        <f>ROUND($L$7/($J$7/3),0)</f>
        <v/>
      </c>
    </row>
    <row r="8">
      <c r="B8" s="4" t="n">
        <v>1805</v>
      </c>
      <c r="C8" s="4" t="n">
        <v>150</v>
      </c>
      <c r="D8" s="4" t="inlineStr">
        <is>
          <t>['弓箭手', '士兵', '弓']</t>
        </is>
      </c>
      <c r="E8" s="4" t="n">
        <v>1</v>
      </c>
      <c r="F8" s="4">
        <f>SUM($E$4:$E8)</f>
        <v/>
      </c>
      <c r="G8" s="4" t="n">
        <v>1.2</v>
      </c>
      <c r="H8" s="4" t="n">
        <v>0.2</v>
      </c>
      <c r="I8" s="4" t="n">
        <v>305615.5</v>
      </c>
      <c r="J8" s="4" t="n">
        <v>417579.3</v>
      </c>
      <c r="K8" s="4" t="n">
        <v>79600.39999999999</v>
      </c>
      <c r="L8" s="4">
        <f>$K$8*30</f>
        <v/>
      </c>
      <c r="M8" s="4">
        <f>ROUND($L$8/($J$8/3),0)</f>
        <v/>
      </c>
    </row>
    <row r="9">
      <c r="B9" s="4" t="n">
        <v>1806</v>
      </c>
      <c r="C9" s="4" t="n">
        <v>180</v>
      </c>
      <c r="D9" s="4" t="inlineStr">
        <is>
          <t>['弓箭手', '士兵', '弓']</t>
        </is>
      </c>
      <c r="E9" s="4" t="n">
        <v>1</v>
      </c>
      <c r="F9" s="4">
        <f>SUM($E$4:$E9)</f>
        <v/>
      </c>
      <c r="G9" s="4" t="n">
        <v>1.2</v>
      </c>
      <c r="H9" s="4" t="n">
        <v>0.3</v>
      </c>
      <c r="I9" s="4" t="n">
        <v>305615.5</v>
      </c>
      <c r="J9" s="4" t="n">
        <v>437296.7</v>
      </c>
      <c r="K9" s="4" t="n">
        <v>88147.89999999999</v>
      </c>
      <c r="L9" s="4">
        <f>$K$9*30</f>
        <v/>
      </c>
      <c r="M9" s="4">
        <f>ROUND($L$9/($J$9/3),0)</f>
        <v/>
      </c>
    </row>
    <row r="10">
      <c r="B10" s="4" t="n">
        <v>1807</v>
      </c>
      <c r="C10" s="4" t="n">
        <v>210</v>
      </c>
      <c r="D10" s="4" t="inlineStr">
        <is>
          <t>['弓箭手', '士兵', '弓']</t>
        </is>
      </c>
      <c r="E10" s="4" t="n">
        <v>2</v>
      </c>
      <c r="F10" s="4">
        <f>SUM($E$4:$E10)</f>
        <v/>
      </c>
      <c r="G10" s="4" t="n">
        <v>1.3</v>
      </c>
      <c r="H10" s="4" t="n">
        <v>0.3</v>
      </c>
      <c r="I10" s="4" t="n">
        <v>305615.5</v>
      </c>
      <c r="J10" s="4" t="n">
        <v>477637.2</v>
      </c>
      <c r="K10" s="4" t="n">
        <v>107377.5</v>
      </c>
      <c r="L10" s="4">
        <f>$K$10*30</f>
        <v/>
      </c>
      <c r="M10" s="4">
        <f>ROUND($L$10/($J$10/3),0)</f>
        <v/>
      </c>
    </row>
    <row r="11">
      <c r="B11" s="4" t="n">
        <v>1808</v>
      </c>
      <c r="C11" s="4" t="n">
        <v>240</v>
      </c>
      <c r="D11" s="4" t="inlineStr">
        <is>
          <t>['弓箭手', '士兵', '弓']</t>
        </is>
      </c>
      <c r="E11" s="4" t="n">
        <v>1</v>
      </c>
      <c r="F11" s="4">
        <f>SUM($E$4:$E11)</f>
        <v/>
      </c>
      <c r="G11" s="4" t="n">
        <v>1.3</v>
      </c>
      <c r="H11" s="4" t="n">
        <v>0.4</v>
      </c>
      <c r="I11" s="4" t="n">
        <v>305615.5</v>
      </c>
      <c r="J11" s="4" t="n">
        <v>498260.4</v>
      </c>
      <c r="K11" s="4" t="n">
        <v>118149.8</v>
      </c>
      <c r="L11" s="4">
        <f>$K$11*30</f>
        <v/>
      </c>
      <c r="M11" s="4">
        <f>ROUND($L$11/($J$11/3),0)</f>
        <v/>
      </c>
    </row>
    <row r="12">
      <c r="B12" s="4" t="n">
        <v>1809</v>
      </c>
      <c r="C12" s="4" t="n">
        <v>270</v>
      </c>
      <c r="D12" s="4" t="inlineStr">
        <is>
          <t>['弓箭手', '士兵', '弓']</t>
        </is>
      </c>
      <c r="E12" s="4" t="n">
        <v>1</v>
      </c>
      <c r="F12" s="4">
        <f>SUM($E$4:$E12)</f>
        <v/>
      </c>
      <c r="G12" s="4" t="n">
        <v>1.3</v>
      </c>
      <c r="H12" s="4" t="n">
        <v>0.4</v>
      </c>
      <c r="I12" s="4" t="n">
        <v>305615.5</v>
      </c>
      <c r="J12" s="4" t="n">
        <v>519185.5</v>
      </c>
      <c r="K12" s="4" t="n">
        <v>129758.2</v>
      </c>
      <c r="L12" s="4">
        <f>$K$12*30</f>
        <v/>
      </c>
      <c r="M12" s="4">
        <f>ROUND($L$12/($J$12/3),0)</f>
        <v/>
      </c>
    </row>
    <row r="13">
      <c r="B13" s="4" t="n">
        <v>1810</v>
      </c>
      <c r="C13" s="4" t="n">
        <v>300</v>
      </c>
      <c r="D13" s="4" t="inlineStr">
        <is>
          <t>['弓箭手', '士兵', '弓']</t>
        </is>
      </c>
      <c r="E13" s="4" t="n">
        <v>1</v>
      </c>
      <c r="F13" s="4">
        <f>SUM($E$4:$E13)</f>
        <v/>
      </c>
      <c r="G13" s="4" t="n">
        <v>1.4</v>
      </c>
      <c r="H13" s="4" t="n">
        <v>0.5</v>
      </c>
      <c r="I13" s="4" t="n">
        <v>305615.5</v>
      </c>
      <c r="J13" s="4" t="n">
        <v>540412.6</v>
      </c>
      <c r="K13" s="4" t="n">
        <v>142253.8</v>
      </c>
      <c r="L13" s="4">
        <f>$K$13*30</f>
        <v/>
      </c>
      <c r="M13" s="4">
        <f>ROUND($L$13/($J$13/3),0)</f>
        <v/>
      </c>
    </row>
    <row r="14">
      <c r="B14" s="4" t="n">
        <v>1811</v>
      </c>
      <c r="C14" s="4" t="n">
        <v>330</v>
      </c>
      <c r="D14" s="4" t="inlineStr">
        <is>
          <t>['弓箭手', '士兵', '弓']</t>
        </is>
      </c>
      <c r="E14" s="4" t="n">
        <v>1</v>
      </c>
      <c r="F14" s="4">
        <f>SUM($E$4:$E14)</f>
        <v/>
      </c>
      <c r="G14" s="4" t="n">
        <v>1.4</v>
      </c>
      <c r="H14" s="4" t="n">
        <v>0.5</v>
      </c>
      <c r="I14" s="4" t="n">
        <v>305615.5</v>
      </c>
      <c r="J14" s="4" t="n">
        <v>561941.5</v>
      </c>
      <c r="K14" s="4" t="n">
        <v>155690.6</v>
      </c>
      <c r="L14" s="4">
        <f>$K$14*30</f>
        <v/>
      </c>
      <c r="M14" s="4">
        <f>ROUND($L$14/($J$14/3),0)</f>
        <v/>
      </c>
    </row>
    <row r="15">
      <c r="B15" s="4" t="n">
        <v>1812</v>
      </c>
      <c r="C15" s="4" t="n">
        <v>360</v>
      </c>
      <c r="D15" s="4" t="inlineStr">
        <is>
          <t>['弓箭手', '士兵', '弓']</t>
        </is>
      </c>
      <c r="E15" s="4" t="n">
        <v>1</v>
      </c>
      <c r="F15" s="4">
        <f>SUM($E$4:$E15)</f>
        <v/>
      </c>
      <c r="G15" s="4" t="n">
        <v>1.4</v>
      </c>
      <c r="H15" s="4" t="n">
        <v>0.5</v>
      </c>
      <c r="I15" s="4" t="n">
        <v>305615.5</v>
      </c>
      <c r="J15" s="4" t="n">
        <v>583772.4</v>
      </c>
      <c r="K15" s="4" t="n">
        <v>170125.3</v>
      </c>
      <c r="L15" s="4">
        <f>$K$15*30</f>
        <v/>
      </c>
      <c r="M15" s="4">
        <f>ROUND($L$15/($J$15/3),0)</f>
        <v/>
      </c>
    </row>
    <row r="16">
      <c r="B16" s="4" t="n">
        <v>1813</v>
      </c>
      <c r="C16" s="4" t="n">
        <v>390</v>
      </c>
      <c r="D16" s="4" t="inlineStr">
        <is>
          <t>['弓箭手', '士兵', '弓']</t>
        </is>
      </c>
      <c r="E16" s="4" t="n">
        <v>1</v>
      </c>
      <c r="F16" s="4">
        <f>SUM($E$4:$E16)</f>
        <v/>
      </c>
      <c r="G16" s="4" t="n">
        <v>1.5</v>
      </c>
      <c r="H16" s="4" t="n">
        <v>0.6</v>
      </c>
      <c r="I16" s="4" t="n">
        <v>305615.5</v>
      </c>
      <c r="J16" s="4" t="n">
        <v>605905.2</v>
      </c>
      <c r="K16" s="4" t="n">
        <v>185617.6</v>
      </c>
      <c r="L16" s="4">
        <f>$K$16*30</f>
        <v/>
      </c>
      <c r="M16" s="4">
        <f>ROUND($L$16/($J$16/3),0)</f>
        <v/>
      </c>
    </row>
    <row r="17">
      <c r="B17" s="4" t="n">
        <v>1814</v>
      </c>
      <c r="C17" s="4" t="n">
        <v>420</v>
      </c>
      <c r="D17" s="4" t="inlineStr">
        <is>
          <t>['弓箭手', '士兵', '弓']</t>
        </is>
      </c>
      <c r="E17" s="4" t="n">
        <v>1</v>
      </c>
      <c r="F17" s="4">
        <f>SUM($E$4:$E17)</f>
        <v/>
      </c>
      <c r="G17" s="4" t="n">
        <v>1.5</v>
      </c>
      <c r="H17" s="4" t="n">
        <v>0.6</v>
      </c>
      <c r="I17" s="4" t="n">
        <v>305615.5</v>
      </c>
      <c r="J17" s="4" t="n">
        <v>628340</v>
      </c>
      <c r="K17" s="4" t="n">
        <v>202230.2</v>
      </c>
      <c r="L17" s="4">
        <f>$K$17*30</f>
        <v/>
      </c>
      <c r="M17" s="4">
        <f>ROUND($L$17/($J$17/3),0)</f>
        <v/>
      </c>
    </row>
    <row r="18">
      <c r="B18" s="4" t="n">
        <v>1815</v>
      </c>
      <c r="C18" s="4" t="n">
        <v>450</v>
      </c>
      <c r="D18" s="4" t="inlineStr">
        <is>
          <t>['弓箭手', '士兵', '弓']</t>
        </is>
      </c>
      <c r="E18" s="4" t="n">
        <v>1</v>
      </c>
      <c r="F18" s="4">
        <f>SUM($E$4:$E18)</f>
        <v/>
      </c>
      <c r="G18" s="4" t="n">
        <v>1.5</v>
      </c>
      <c r="H18" s="4" t="n">
        <v>0.6</v>
      </c>
      <c r="I18" s="4" t="n">
        <v>305615.5</v>
      </c>
      <c r="J18" s="4" t="n">
        <v>651076.7</v>
      </c>
      <c r="K18" s="4" t="n">
        <v>220028.7</v>
      </c>
      <c r="L18" s="4">
        <f>$K$18*30</f>
        <v/>
      </c>
      <c r="M18" s="4">
        <f>ROUND($L$18/($J$18/3),0)</f>
        <v/>
      </c>
    </row>
    <row r="19">
      <c r="B19" s="4" t="n">
        <v>1816</v>
      </c>
      <c r="C19" s="4" t="n">
        <v>480</v>
      </c>
      <c r="D19" s="4" t="inlineStr">
        <is>
          <t>['弓箭手', '士兵', '弓']</t>
        </is>
      </c>
      <c r="E19" s="4" t="n">
        <v>1</v>
      </c>
      <c r="F19" s="4">
        <f>SUM($E$4:$E19)</f>
        <v/>
      </c>
      <c r="G19" s="4" t="n">
        <v>1.6</v>
      </c>
      <c r="H19" s="4" t="n">
        <v>0.7</v>
      </c>
      <c r="I19" s="4" t="n">
        <v>305615.5</v>
      </c>
      <c r="J19" s="4" t="n">
        <v>674115.3</v>
      </c>
      <c r="K19" s="4" t="n">
        <v>239082.5</v>
      </c>
      <c r="L19" s="4">
        <f>$K$19*30</f>
        <v/>
      </c>
      <c r="M19" s="4">
        <f>ROUND($L$19/($J$19/3),0)</f>
        <v/>
      </c>
    </row>
    <row r="20">
      <c r="B20" s="4" t="n">
        <v>1817</v>
      </c>
      <c r="C20" s="4" t="n">
        <v>510</v>
      </c>
      <c r="D20" s="4" t="inlineStr">
        <is>
          <t>['弓箭手', '士兵', '弓']</t>
        </is>
      </c>
      <c r="E20" s="4" t="n">
        <v>0</v>
      </c>
      <c r="F20" s="4">
        <f>SUM($E$4:$E20)</f>
        <v/>
      </c>
      <c r="G20" s="4" t="n">
        <v>1.6</v>
      </c>
      <c r="H20" s="4" t="n">
        <v>0.7</v>
      </c>
      <c r="I20" s="4" t="n">
        <v>305615.5</v>
      </c>
      <c r="J20" s="4" t="n">
        <v>674115.3</v>
      </c>
      <c r="K20" s="4" t="n">
        <v>239082.5</v>
      </c>
      <c r="L20" s="4">
        <f>$K$20*30</f>
        <v/>
      </c>
      <c r="M20" s="4">
        <f>ROUND($L$20/($J$20/3),0)</f>
        <v/>
      </c>
    </row>
    <row r="21">
      <c r="B21" s="4" t="n">
        <v>1818</v>
      </c>
      <c r="C21" s="4" t="n">
        <v>540</v>
      </c>
      <c r="D21" s="4" t="inlineStr">
        <is>
          <t>['弓箭手', '士兵', '弓']</t>
        </is>
      </c>
      <c r="E21" s="4" t="n">
        <v>1</v>
      </c>
      <c r="F21" s="4">
        <f>SUM($E$4:$E21)</f>
        <v/>
      </c>
      <c r="G21" s="4" t="n">
        <v>1.6</v>
      </c>
      <c r="H21" s="4" t="n">
        <v>0.7</v>
      </c>
      <c r="I21" s="4" t="n">
        <v>305615.5</v>
      </c>
      <c r="J21" s="4" t="n">
        <v>697455.8</v>
      </c>
      <c r="K21" s="4" t="n">
        <v>259463.9</v>
      </c>
      <c r="L21" s="4">
        <f>$K$21*30</f>
        <v/>
      </c>
      <c r="M21" s="4">
        <f>ROUND($L$21/($J$21/3),0)</f>
        <v/>
      </c>
    </row>
    <row r="22">
      <c r="B22" s="4" t="n">
        <v>1819</v>
      </c>
      <c r="C22" s="4" t="n">
        <v>570</v>
      </c>
      <c r="D22" s="4" t="inlineStr">
        <is>
          <t>['弓箭手', '士兵', '弓']</t>
        </is>
      </c>
      <c r="E22" s="4" t="n">
        <v>1</v>
      </c>
      <c r="F22" s="4">
        <f>SUM($E$4:$E22)</f>
        <v/>
      </c>
      <c r="G22" s="4" t="n">
        <v>1.7</v>
      </c>
      <c r="H22" s="4" t="n">
        <v>0.8</v>
      </c>
      <c r="I22" s="4" t="n">
        <v>305615.5</v>
      </c>
      <c r="J22" s="4" t="n">
        <v>721098.3</v>
      </c>
      <c r="K22" s="4" t="n">
        <v>281249.3</v>
      </c>
      <c r="L22" s="4">
        <f>$K$22*30</f>
        <v/>
      </c>
      <c r="M22" s="4">
        <f>ROUND($L$22/($J$22/3),0)</f>
        <v/>
      </c>
    </row>
    <row r="23">
      <c r="B23" s="4" t="n">
        <v>1820</v>
      </c>
      <c r="C23" s="4" t="n">
        <v>600</v>
      </c>
      <c r="D23" s="4" t="inlineStr">
        <is>
          <t>['弓箭手', '士兵', '弓']</t>
        </is>
      </c>
      <c r="E23" s="4" t="n">
        <v>1</v>
      </c>
      <c r="F23" s="4">
        <f>SUM($E$4:$E23)</f>
        <v/>
      </c>
      <c r="G23" s="4" t="n">
        <v>1.7</v>
      </c>
      <c r="H23" s="4" t="n">
        <v>0.8</v>
      </c>
      <c r="I23" s="4" t="n">
        <v>305615.5</v>
      </c>
      <c r="J23" s="4" t="n">
        <v>745042.7</v>
      </c>
      <c r="K23" s="4" t="n">
        <v>304518.7</v>
      </c>
      <c r="L23" s="4">
        <f>$K$23*30</f>
        <v/>
      </c>
      <c r="M23" s="4">
        <f>ROUND($L$23/($J$23/3),0)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19.8" customWidth="1" min="2" max="2"/>
    <col width="19.8" customWidth="1" min="3" max="3"/>
    <col width="8.800000000000001" customWidth="1" min="4" max="4"/>
    <col width="15.4" customWidth="1" min="5" max="5"/>
    <col width="11" customWidth="1" min="6" max="6"/>
    <col width="13.2" customWidth="1" min="7" max="7"/>
    <col width="24.2" customWidth="1" min="8" max="8"/>
    <col width="13.2" customWidth="1" min="9" max="9"/>
    <col width="17.6" customWidth="1" min="10" max="10"/>
    <col width="17.6" customWidth="1" min="11" max="11"/>
    <col width="19.8" customWidth="1" min="12" max="12"/>
    <col width="30.8" customWidth="1" min="13" max="13"/>
  </cols>
  <sheetData>
    <row r="1">
      <c r="A1" s="3" t="inlineStr">
        <is>
          <t>##var</t>
        </is>
      </c>
      <c r="B1" s="3" t="inlineStr">
        <is>
          <t>角色等级和波次</t>
        </is>
      </c>
      <c r="C1" s="3" t="inlineStr">
        <is>
          <t>时间点_30s</t>
        </is>
      </c>
      <c r="D1" s="3" t="inlineStr">
        <is>
          <t>阵容</t>
        </is>
      </c>
      <c r="E1" s="3" t="inlineStr">
        <is>
          <t>选技能次数</t>
        </is>
      </c>
      <c r="F1" s="3" t="inlineStr">
        <is>
          <t>总次数</t>
        </is>
      </c>
      <c r="G1" s="3" t="inlineStr">
        <is>
          <t>消除倍率</t>
        </is>
      </c>
      <c r="H1" s="3" t="inlineStr">
        <is>
          <t>每块小兵增加期望值</t>
        </is>
      </c>
      <c r="I1" s="3" t="inlineStr">
        <is>
          <t>初始战力</t>
        </is>
      </c>
      <c r="J1" s="3" t="inlineStr">
        <is>
          <t>当前阵容战力</t>
        </is>
      </c>
      <c r="K1" s="3" t="inlineStr">
        <is>
          <t>战力产出效率</t>
        </is>
      </c>
      <c r="L1" s="3" t="inlineStr">
        <is>
          <t>每波怪物总战力</t>
        </is>
      </c>
      <c r="M1" s="3" t="inlineStr">
        <is>
          <t>平均相当于多少个上阵角色</t>
        </is>
      </c>
    </row>
    <row r="2">
      <c r="A2" s="3" t="inlineStr">
        <is>
          <t>##type</t>
        </is>
      </c>
      <c r="B2" s="3" t="inlineStr">
        <is>
          <t>int</t>
        </is>
      </c>
      <c r="C2" s="3" t="inlineStr">
        <is>
          <t>float</t>
        </is>
      </c>
      <c r="D2" s="3" t="inlineStr">
        <is>
          <t>string</t>
        </is>
      </c>
      <c r="E2" s="3" t="inlineStr">
        <is>
          <t>int</t>
        </is>
      </c>
      <c r="F2" s="3" t="inlineStr">
        <is>
          <t>int</t>
        </is>
      </c>
      <c r="G2" s="3" t="inlineStr">
        <is>
          <t>float</t>
        </is>
      </c>
      <c r="H2" s="3" t="inlineStr">
        <is>
          <t>float</t>
        </is>
      </c>
      <c r="I2" s="3" t="inlineStr">
        <is>
          <t>float</t>
        </is>
      </c>
      <c r="J2" s="3" t="inlineStr">
        <is>
          <t>float</t>
        </is>
      </c>
      <c r="K2" s="3" t="inlineStr">
        <is>
          <t>float</t>
        </is>
      </c>
      <c r="L2" s="3" t="inlineStr">
        <is>
          <t>float</t>
        </is>
      </c>
      <c r="M2" s="3" t="inlineStr">
        <is>
          <t>float</t>
        </is>
      </c>
    </row>
    <row r="3">
      <c r="A3" s="3" t="inlineStr">
        <is>
          <t>##</t>
        </is>
      </c>
      <c r="B3" s="3" t="inlineStr">
        <is>
          <t>角色等级和波次</t>
        </is>
      </c>
      <c r="C3" s="3" t="inlineStr">
        <is>
          <t>时间点_30s</t>
        </is>
      </c>
      <c r="D3" s="3" t="inlineStr">
        <is>
          <t>阵容</t>
        </is>
      </c>
      <c r="E3" s="3" t="inlineStr">
        <is>
          <t>选技能次数</t>
        </is>
      </c>
      <c r="F3" s="3" t="inlineStr">
        <is>
          <t>总次数</t>
        </is>
      </c>
      <c r="G3" s="3" t="inlineStr">
        <is>
          <t>消除倍率</t>
        </is>
      </c>
      <c r="H3" s="3" t="inlineStr">
        <is>
          <t>每块小兵增加期望值</t>
        </is>
      </c>
      <c r="I3" s="3" t="inlineStr">
        <is>
          <t>初始战力</t>
        </is>
      </c>
      <c r="J3" s="3" t="inlineStr">
        <is>
          <t>当前阵容战力</t>
        </is>
      </c>
      <c r="K3" s="3" t="inlineStr">
        <is>
          <t>战力产出效率</t>
        </is>
      </c>
      <c r="L3" s="3" t="inlineStr">
        <is>
          <t>每波怪物总战力</t>
        </is>
      </c>
      <c r="M3" s="3" t="inlineStr">
        <is>
          <t>平均相当于多少个上阵角色</t>
        </is>
      </c>
    </row>
    <row r="4">
      <c r="B4" s="4" t="n">
        <v>1701</v>
      </c>
      <c r="C4" s="4" t="n">
        <v>30</v>
      </c>
      <c r="D4" s="4" t="inlineStr">
        <is>
          <t>['弓箭手', '士兵', '弓']</t>
        </is>
      </c>
      <c r="E4" s="4" t="n">
        <v>1</v>
      </c>
      <c r="F4" s="4">
        <f>SUM($E$4:$E4)</f>
        <v/>
      </c>
      <c r="G4" s="4" t="n">
        <v>1</v>
      </c>
      <c r="H4" s="4" t="n">
        <v>0</v>
      </c>
      <c r="I4" s="4" t="n">
        <v>244492.4</v>
      </c>
      <c r="J4" s="4" t="n">
        <v>258817.1</v>
      </c>
      <c r="K4" s="4" t="n">
        <v>36738.4</v>
      </c>
      <c r="L4" s="4">
        <f>$K$4*30</f>
        <v/>
      </c>
      <c r="M4" s="4">
        <f>ROUND($L$4/($J$4/3),0)</f>
        <v/>
      </c>
    </row>
    <row r="5">
      <c r="B5" s="4" t="n">
        <v>1702</v>
      </c>
      <c r="C5" s="4" t="n">
        <v>60</v>
      </c>
      <c r="D5" s="4" t="inlineStr">
        <is>
          <t>['弓箭手', '士兵', '弓']</t>
        </is>
      </c>
      <c r="E5" s="4" t="n">
        <v>2</v>
      </c>
      <c r="F5" s="4">
        <f>SUM($E$4:$E5)</f>
        <v/>
      </c>
      <c r="G5" s="4" t="n">
        <v>1.1</v>
      </c>
      <c r="H5" s="4" t="n">
        <v>0.1</v>
      </c>
      <c r="I5" s="4" t="n">
        <v>244492.4</v>
      </c>
      <c r="J5" s="4" t="n">
        <v>288191</v>
      </c>
      <c r="K5" s="4" t="n">
        <v>46184.7</v>
      </c>
      <c r="L5" s="4">
        <f>$K$5*30</f>
        <v/>
      </c>
      <c r="M5" s="4">
        <f>ROUND($L$5/($J$5/3),0)</f>
        <v/>
      </c>
    </row>
    <row r="6">
      <c r="B6" s="4" t="n">
        <v>1703</v>
      </c>
      <c r="C6" s="4" t="n">
        <v>90</v>
      </c>
      <c r="D6" s="4" t="inlineStr">
        <is>
          <t>['弓箭手', '士兵', '弓']</t>
        </is>
      </c>
      <c r="E6" s="4" t="n">
        <v>1</v>
      </c>
      <c r="F6" s="4">
        <f>SUM($E$4:$E6)</f>
        <v/>
      </c>
      <c r="G6" s="4" t="n">
        <v>1.1</v>
      </c>
      <c r="H6" s="4" t="n">
        <v>0.2</v>
      </c>
      <c r="I6" s="4" t="n">
        <v>244492.4</v>
      </c>
      <c r="J6" s="4" t="n">
        <v>303240.3</v>
      </c>
      <c r="K6" s="4" t="n">
        <v>51544.4</v>
      </c>
      <c r="L6" s="4">
        <f>$K$6*30</f>
        <v/>
      </c>
      <c r="M6" s="4">
        <f>ROUND($L$6/($J$6/3),0)</f>
        <v/>
      </c>
    </row>
    <row r="7">
      <c r="B7" s="4" t="n">
        <v>1704</v>
      </c>
      <c r="C7" s="4" t="n">
        <v>120</v>
      </c>
      <c r="D7" s="4" t="inlineStr">
        <is>
          <t>['弓箭手', '士兵', '弓']</t>
        </is>
      </c>
      <c r="E7" s="4" t="n">
        <v>1</v>
      </c>
      <c r="F7" s="4">
        <f>SUM($E$4:$E7)</f>
        <v/>
      </c>
      <c r="G7" s="4" t="n">
        <v>1.1</v>
      </c>
      <c r="H7" s="4" t="n">
        <v>0.2</v>
      </c>
      <c r="I7" s="4" t="n">
        <v>244492.4</v>
      </c>
      <c r="J7" s="4" t="n">
        <v>318531.1</v>
      </c>
      <c r="K7" s="4" t="n">
        <v>57366.2</v>
      </c>
      <c r="L7" s="4">
        <f>$K$7*30</f>
        <v/>
      </c>
      <c r="M7" s="4">
        <f>ROUND($L$7/($J$7/3),0)</f>
        <v/>
      </c>
    </row>
    <row r="8">
      <c r="B8" s="4" t="n">
        <v>1705</v>
      </c>
      <c r="C8" s="4" t="n">
        <v>150</v>
      </c>
      <c r="D8" s="4" t="inlineStr">
        <is>
          <t>['弓箭手', '士兵', '弓']</t>
        </is>
      </c>
      <c r="E8" s="4" t="n">
        <v>1</v>
      </c>
      <c r="F8" s="4">
        <f>SUM($E$4:$E8)</f>
        <v/>
      </c>
      <c r="G8" s="4" t="n">
        <v>1.2</v>
      </c>
      <c r="H8" s="4" t="n">
        <v>0.2</v>
      </c>
      <c r="I8" s="4" t="n">
        <v>244492.4</v>
      </c>
      <c r="J8" s="4" t="n">
        <v>334063.4</v>
      </c>
      <c r="K8" s="4" t="n">
        <v>63680.3</v>
      </c>
      <c r="L8" s="4">
        <f>$K$8*30</f>
        <v/>
      </c>
      <c r="M8" s="4">
        <f>ROUND($L$8/($J$8/3),0)</f>
        <v/>
      </c>
    </row>
    <row r="9">
      <c r="B9" s="4" t="n">
        <v>1706</v>
      </c>
      <c r="C9" s="4" t="n">
        <v>180</v>
      </c>
      <c r="D9" s="4" t="inlineStr">
        <is>
          <t>['弓箭手', '士兵', '弓']</t>
        </is>
      </c>
      <c r="E9" s="4" t="n">
        <v>1</v>
      </c>
      <c r="F9" s="4">
        <f>SUM($E$4:$E9)</f>
        <v/>
      </c>
      <c r="G9" s="4" t="n">
        <v>1.2</v>
      </c>
      <c r="H9" s="4" t="n">
        <v>0.3</v>
      </c>
      <c r="I9" s="4" t="n">
        <v>244492.4</v>
      </c>
      <c r="J9" s="4" t="n">
        <v>349837.3</v>
      </c>
      <c r="K9" s="4" t="n">
        <v>70518.3</v>
      </c>
      <c r="L9" s="4">
        <f>$K$9*30</f>
        <v/>
      </c>
      <c r="M9" s="4">
        <f>ROUND($L$9/($J$9/3),0)</f>
        <v/>
      </c>
    </row>
    <row r="10">
      <c r="B10" s="4" t="n">
        <v>1707</v>
      </c>
      <c r="C10" s="4" t="n">
        <v>210</v>
      </c>
      <c r="D10" s="4" t="inlineStr">
        <is>
          <t>['弓箭手', '士兵', '弓']</t>
        </is>
      </c>
      <c r="E10" s="4" t="n">
        <v>2</v>
      </c>
      <c r="F10" s="4">
        <f>SUM($E$4:$E10)</f>
        <v/>
      </c>
      <c r="G10" s="4" t="n">
        <v>1.3</v>
      </c>
      <c r="H10" s="4" t="n">
        <v>0.3</v>
      </c>
      <c r="I10" s="4" t="n">
        <v>244492.4</v>
      </c>
      <c r="J10" s="4" t="n">
        <v>382109.8</v>
      </c>
      <c r="K10" s="4" t="n">
        <v>85902</v>
      </c>
      <c r="L10" s="4">
        <f>$K$10*30</f>
        <v/>
      </c>
      <c r="M10" s="4">
        <f>ROUND($L$10/($J$10/3),0)</f>
        <v/>
      </c>
    </row>
    <row r="11">
      <c r="B11" s="4" t="n">
        <v>1708</v>
      </c>
      <c r="C11" s="4" t="n">
        <v>240</v>
      </c>
      <c r="D11" s="4" t="inlineStr">
        <is>
          <t>['弓箭手', '士兵', '弓']</t>
        </is>
      </c>
      <c r="E11" s="4" t="n">
        <v>1</v>
      </c>
      <c r="F11" s="4">
        <f>SUM($E$4:$E11)</f>
        <v/>
      </c>
      <c r="G11" s="4" t="n">
        <v>1.3</v>
      </c>
      <c r="H11" s="4" t="n">
        <v>0.4</v>
      </c>
      <c r="I11" s="4" t="n">
        <v>244492.4</v>
      </c>
      <c r="J11" s="4" t="n">
        <v>398608.3</v>
      </c>
      <c r="K11" s="4" t="n">
        <v>94519.89999999999</v>
      </c>
      <c r="L11" s="4">
        <f>$K$11*30</f>
        <v/>
      </c>
      <c r="M11" s="4">
        <f>ROUND($L$11/($J$11/3),0)</f>
        <v/>
      </c>
    </row>
    <row r="12">
      <c r="B12" s="4" t="n">
        <v>1709</v>
      </c>
      <c r="C12" s="4" t="n">
        <v>270</v>
      </c>
      <c r="D12" s="4" t="inlineStr">
        <is>
          <t>['弓箭手', '士兵', '弓']</t>
        </is>
      </c>
      <c r="E12" s="4" t="n">
        <v>1</v>
      </c>
      <c r="F12" s="4">
        <f>SUM($E$4:$E12)</f>
        <v/>
      </c>
      <c r="G12" s="4" t="n">
        <v>1.3</v>
      </c>
      <c r="H12" s="4" t="n">
        <v>0.4</v>
      </c>
      <c r="I12" s="4" t="n">
        <v>244492.4</v>
      </c>
      <c r="J12" s="4" t="n">
        <v>415348.4</v>
      </c>
      <c r="K12" s="4" t="n">
        <v>103806.5</v>
      </c>
      <c r="L12" s="4">
        <f>$K$12*30</f>
        <v/>
      </c>
      <c r="M12" s="4">
        <f>ROUND($L$12/($J$12/3),0)</f>
        <v/>
      </c>
    </row>
    <row r="13">
      <c r="B13" s="4" t="n">
        <v>1710</v>
      </c>
      <c r="C13" s="4" t="n">
        <v>300</v>
      </c>
      <c r="D13" s="4" t="inlineStr">
        <is>
          <t>['弓箭手', '士兵', '弓']</t>
        </is>
      </c>
      <c r="E13" s="4" t="n">
        <v>1</v>
      </c>
      <c r="F13" s="4">
        <f>SUM($E$4:$E13)</f>
        <v/>
      </c>
      <c r="G13" s="4" t="n">
        <v>1.4</v>
      </c>
      <c r="H13" s="4" t="n">
        <v>0.5</v>
      </c>
      <c r="I13" s="4" t="n">
        <v>244492.4</v>
      </c>
      <c r="J13" s="4" t="n">
        <v>432330</v>
      </c>
      <c r="K13" s="4" t="n">
        <v>113803</v>
      </c>
      <c r="L13" s="4">
        <f>$K$13*30</f>
        <v/>
      </c>
      <c r="M13" s="4">
        <f>ROUND($L$13/($J$13/3),0)</f>
        <v/>
      </c>
    </row>
    <row r="14">
      <c r="B14" s="4" t="n">
        <v>1711</v>
      </c>
      <c r="C14" s="4" t="n">
        <v>330</v>
      </c>
      <c r="D14" s="4" t="inlineStr">
        <is>
          <t>['弓箭手', '士兵', '弓']</t>
        </is>
      </c>
      <c r="E14" s="4" t="n">
        <v>1</v>
      </c>
      <c r="F14" s="4">
        <f>SUM($E$4:$E14)</f>
        <v/>
      </c>
      <c r="G14" s="4" t="n">
        <v>1.4</v>
      </c>
      <c r="H14" s="4" t="n">
        <v>0.5</v>
      </c>
      <c r="I14" s="4" t="n">
        <v>244492.4</v>
      </c>
      <c r="J14" s="4" t="n">
        <v>449553.2</v>
      </c>
      <c r="K14" s="4" t="n">
        <v>124552.5</v>
      </c>
      <c r="L14" s="4">
        <f>$K$14*30</f>
        <v/>
      </c>
      <c r="M14" s="4">
        <f>ROUND($L$14/($J$14/3),0)</f>
        <v/>
      </c>
    </row>
    <row r="15">
      <c r="B15" s="4" t="n">
        <v>1712</v>
      </c>
      <c r="C15" s="4" t="n">
        <v>360</v>
      </c>
      <c r="D15" s="4" t="inlineStr">
        <is>
          <t>['弓箭手', '士兵', '弓']</t>
        </is>
      </c>
      <c r="E15" s="4" t="n">
        <v>1</v>
      </c>
      <c r="F15" s="4">
        <f>SUM($E$4:$E15)</f>
        <v/>
      </c>
      <c r="G15" s="4" t="n">
        <v>1.4</v>
      </c>
      <c r="H15" s="4" t="n">
        <v>0.5</v>
      </c>
      <c r="I15" s="4" t="n">
        <v>244492.4</v>
      </c>
      <c r="J15" s="4" t="n">
        <v>467017.9</v>
      </c>
      <c r="K15" s="4" t="n">
        <v>136100.3</v>
      </c>
      <c r="L15" s="4">
        <f>$K$15*30</f>
        <v/>
      </c>
      <c r="M15" s="4">
        <f>ROUND($L$15/($J$15/3),0)</f>
        <v/>
      </c>
    </row>
    <row r="16">
      <c r="B16" s="4" t="n">
        <v>1713</v>
      </c>
      <c r="C16" s="4" t="n">
        <v>390</v>
      </c>
      <c r="D16" s="4" t="inlineStr">
        <is>
          <t>['弓箭手', '士兵', '弓']</t>
        </is>
      </c>
      <c r="E16" s="4" t="n">
        <v>1</v>
      </c>
      <c r="F16" s="4">
        <f>SUM($E$4:$E16)</f>
        <v/>
      </c>
      <c r="G16" s="4" t="n">
        <v>1.5</v>
      </c>
      <c r="H16" s="4" t="n">
        <v>0.6</v>
      </c>
      <c r="I16" s="4" t="n">
        <v>244492.4</v>
      </c>
      <c r="J16" s="4" t="n">
        <v>484724.2</v>
      </c>
      <c r="K16" s="4" t="n">
        <v>148494.1</v>
      </c>
      <c r="L16" s="4">
        <f>$K$16*30</f>
        <v/>
      </c>
      <c r="M16" s="4">
        <f>ROUND($L$16/($J$16/3),0)</f>
        <v/>
      </c>
    </row>
    <row r="17">
      <c r="B17" s="4" t="n">
        <v>1714</v>
      </c>
      <c r="C17" s="4" t="n">
        <v>420</v>
      </c>
      <c r="D17" s="4" t="inlineStr">
        <is>
          <t>['弓箭手', '士兵', '弓']</t>
        </is>
      </c>
      <c r="E17" s="4" t="n">
        <v>1</v>
      </c>
      <c r="F17" s="4">
        <f>SUM($E$4:$E17)</f>
        <v/>
      </c>
      <c r="G17" s="4" t="n">
        <v>1.5</v>
      </c>
      <c r="H17" s="4" t="n">
        <v>0.6</v>
      </c>
      <c r="I17" s="4" t="n">
        <v>244492.4</v>
      </c>
      <c r="J17" s="4" t="n">
        <v>502672</v>
      </c>
      <c r="K17" s="4" t="n">
        <v>161784.1</v>
      </c>
      <c r="L17" s="4">
        <f>$K$17*30</f>
        <v/>
      </c>
      <c r="M17" s="4">
        <f>ROUND($L$17/($J$17/3),0)</f>
        <v/>
      </c>
    </row>
    <row r="18">
      <c r="B18" s="4" t="n">
        <v>1715</v>
      </c>
      <c r="C18" s="4" t="n">
        <v>450</v>
      </c>
      <c r="D18" s="4" t="inlineStr">
        <is>
          <t>['弓箭手', '士兵', '弓']</t>
        </is>
      </c>
      <c r="E18" s="4" t="n">
        <v>1</v>
      </c>
      <c r="F18" s="4">
        <f>SUM($E$4:$E18)</f>
        <v/>
      </c>
      <c r="G18" s="4" t="n">
        <v>1.5</v>
      </c>
      <c r="H18" s="4" t="n">
        <v>0.6</v>
      </c>
      <c r="I18" s="4" t="n">
        <v>244492.4</v>
      </c>
      <c r="J18" s="4" t="n">
        <v>520861.3</v>
      </c>
      <c r="K18" s="4" t="n">
        <v>176023</v>
      </c>
      <c r="L18" s="4">
        <f>$K$18*30</f>
        <v/>
      </c>
      <c r="M18" s="4">
        <f>ROUND($L$18/($J$18/3),0)</f>
        <v/>
      </c>
    </row>
    <row r="19">
      <c r="B19" s="4" t="n">
        <v>1716</v>
      </c>
      <c r="C19" s="4" t="n">
        <v>480</v>
      </c>
      <c r="D19" s="4" t="inlineStr">
        <is>
          <t>['弓箭手', '士兵', '弓']</t>
        </is>
      </c>
      <c r="E19" s="4" t="n">
        <v>1</v>
      </c>
      <c r="F19" s="4">
        <f>SUM($E$4:$E19)</f>
        <v/>
      </c>
      <c r="G19" s="4" t="n">
        <v>1.6</v>
      </c>
      <c r="H19" s="4" t="n">
        <v>0.7</v>
      </c>
      <c r="I19" s="4" t="n">
        <v>244492.4</v>
      </c>
      <c r="J19" s="4" t="n">
        <v>539292.2</v>
      </c>
      <c r="K19" s="4" t="n">
        <v>191266</v>
      </c>
      <c r="L19" s="4">
        <f>$K$19*30</f>
        <v/>
      </c>
      <c r="M19" s="4">
        <f>ROUND($L$19/($J$19/3),0)</f>
        <v/>
      </c>
    </row>
    <row r="20">
      <c r="B20" s="4" t="n">
        <v>1717</v>
      </c>
      <c r="C20" s="4" t="n">
        <v>510</v>
      </c>
      <c r="D20" s="4" t="inlineStr">
        <is>
          <t>['弓箭手', '士兵', '弓']</t>
        </is>
      </c>
      <c r="E20" s="4" t="n">
        <v>0</v>
      </c>
      <c r="F20" s="4">
        <f>SUM($E$4:$E20)</f>
        <v/>
      </c>
      <c r="G20" s="4" t="n">
        <v>1.6</v>
      </c>
      <c r="H20" s="4" t="n">
        <v>0.7</v>
      </c>
      <c r="I20" s="4" t="n">
        <v>244492.4</v>
      </c>
      <c r="J20" s="4" t="n">
        <v>539292.2</v>
      </c>
      <c r="K20" s="4" t="n">
        <v>191266</v>
      </c>
      <c r="L20" s="4">
        <f>$K$20*30</f>
        <v/>
      </c>
      <c r="M20" s="4">
        <f>ROUND($L$20/($J$20/3),0)</f>
        <v/>
      </c>
    </row>
    <row r="21">
      <c r="B21" s="4" t="n">
        <v>1718</v>
      </c>
      <c r="C21" s="4" t="n">
        <v>540</v>
      </c>
      <c r="D21" s="4" t="inlineStr">
        <is>
          <t>['弓箭手', '士兵', '弓']</t>
        </is>
      </c>
      <c r="E21" s="4" t="n">
        <v>1</v>
      </c>
      <c r="F21" s="4">
        <f>SUM($E$4:$E21)</f>
        <v/>
      </c>
      <c r="G21" s="4" t="n">
        <v>1.6</v>
      </c>
      <c r="H21" s="4" t="n">
        <v>0.7</v>
      </c>
      <c r="I21" s="4" t="n">
        <v>244492.4</v>
      </c>
      <c r="J21" s="4" t="n">
        <v>557964.7</v>
      </c>
      <c r="K21" s="4" t="n">
        <v>207571.1</v>
      </c>
      <c r="L21" s="4">
        <f>$K$21*30</f>
        <v/>
      </c>
      <c r="M21" s="4">
        <f>ROUND($L$21/($J$21/3),0)</f>
        <v/>
      </c>
    </row>
    <row r="22">
      <c r="B22" s="4" t="n">
        <v>1719</v>
      </c>
      <c r="C22" s="4" t="n">
        <v>570</v>
      </c>
      <c r="D22" s="4" t="inlineStr">
        <is>
          <t>['弓箭手', '士兵', '弓']</t>
        </is>
      </c>
      <c r="E22" s="4" t="n">
        <v>1</v>
      </c>
      <c r="F22" s="4">
        <f>SUM($E$4:$E22)</f>
        <v/>
      </c>
      <c r="G22" s="4" t="n">
        <v>1.7</v>
      </c>
      <c r="H22" s="4" t="n">
        <v>0.8</v>
      </c>
      <c r="I22" s="4" t="n">
        <v>244492.4</v>
      </c>
      <c r="J22" s="4" t="n">
        <v>576878.7</v>
      </c>
      <c r="K22" s="4" t="n">
        <v>224999.5</v>
      </c>
      <c r="L22" s="4">
        <f>$K$22*30</f>
        <v/>
      </c>
      <c r="M22" s="4">
        <f>ROUND($L$22/($J$22/3),0)</f>
        <v/>
      </c>
    </row>
    <row r="23">
      <c r="B23" s="4" t="n">
        <v>1720</v>
      </c>
      <c r="C23" s="4" t="n">
        <v>600</v>
      </c>
      <c r="D23" s="4" t="inlineStr">
        <is>
          <t>['弓箭手', '士兵', '弓']</t>
        </is>
      </c>
      <c r="E23" s="4" t="n">
        <v>1</v>
      </c>
      <c r="F23" s="4">
        <f>SUM($E$4:$E23)</f>
        <v/>
      </c>
      <c r="G23" s="4" t="n">
        <v>1.7</v>
      </c>
      <c r="H23" s="4" t="n">
        <v>0.8</v>
      </c>
      <c r="I23" s="4" t="n">
        <v>244492.4</v>
      </c>
      <c r="J23" s="4" t="n">
        <v>596034.2</v>
      </c>
      <c r="K23" s="4" t="n">
        <v>243614.9</v>
      </c>
      <c r="L23" s="4">
        <f>$K$23*30</f>
        <v/>
      </c>
      <c r="M23" s="4">
        <f>ROUND($L$23/($J$23/3),0)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19.8" customWidth="1" min="2" max="2"/>
    <col width="19.8" customWidth="1" min="3" max="3"/>
    <col width="8.800000000000001" customWidth="1" min="4" max="4"/>
    <col width="15.4" customWidth="1" min="5" max="5"/>
    <col width="11" customWidth="1" min="6" max="6"/>
    <col width="13.2" customWidth="1" min="7" max="7"/>
    <col width="24.2" customWidth="1" min="8" max="8"/>
    <col width="13.2" customWidth="1" min="9" max="9"/>
    <col width="17.6" customWidth="1" min="10" max="10"/>
    <col width="17.6" customWidth="1" min="11" max="11"/>
    <col width="19.8" customWidth="1" min="12" max="12"/>
    <col width="30.8" customWidth="1" min="13" max="13"/>
  </cols>
  <sheetData>
    <row r="1">
      <c r="A1" s="3" t="inlineStr">
        <is>
          <t>##var</t>
        </is>
      </c>
      <c r="B1" s="3" t="inlineStr">
        <is>
          <t>角色等级和波次</t>
        </is>
      </c>
      <c r="C1" s="3" t="inlineStr">
        <is>
          <t>时间点_30s</t>
        </is>
      </c>
      <c r="D1" s="3" t="inlineStr">
        <is>
          <t>阵容</t>
        </is>
      </c>
      <c r="E1" s="3" t="inlineStr">
        <is>
          <t>选技能次数</t>
        </is>
      </c>
      <c r="F1" s="3" t="inlineStr">
        <is>
          <t>总次数</t>
        </is>
      </c>
      <c r="G1" s="3" t="inlineStr">
        <is>
          <t>消除倍率</t>
        </is>
      </c>
      <c r="H1" s="3" t="inlineStr">
        <is>
          <t>每块小兵增加期望值</t>
        </is>
      </c>
      <c r="I1" s="3" t="inlineStr">
        <is>
          <t>初始战力</t>
        </is>
      </c>
      <c r="J1" s="3" t="inlineStr">
        <is>
          <t>当前阵容战力</t>
        </is>
      </c>
      <c r="K1" s="3" t="inlineStr">
        <is>
          <t>战力产出效率</t>
        </is>
      </c>
      <c r="L1" s="3" t="inlineStr">
        <is>
          <t>每波怪物总战力</t>
        </is>
      </c>
      <c r="M1" s="3" t="inlineStr">
        <is>
          <t>平均相当于多少个上阵角色</t>
        </is>
      </c>
    </row>
    <row r="2">
      <c r="A2" s="3" t="inlineStr">
        <is>
          <t>##type</t>
        </is>
      </c>
      <c r="B2" s="3" t="inlineStr">
        <is>
          <t>int</t>
        </is>
      </c>
      <c r="C2" s="3" t="inlineStr">
        <is>
          <t>float</t>
        </is>
      </c>
      <c r="D2" s="3" t="inlineStr">
        <is>
          <t>string</t>
        </is>
      </c>
      <c r="E2" s="3" t="inlineStr">
        <is>
          <t>int</t>
        </is>
      </c>
      <c r="F2" s="3" t="inlineStr">
        <is>
          <t>int</t>
        </is>
      </c>
      <c r="G2" s="3" t="inlineStr">
        <is>
          <t>float</t>
        </is>
      </c>
      <c r="H2" s="3" t="inlineStr">
        <is>
          <t>float</t>
        </is>
      </c>
      <c r="I2" s="3" t="inlineStr">
        <is>
          <t>float</t>
        </is>
      </c>
      <c r="J2" s="3" t="inlineStr">
        <is>
          <t>float</t>
        </is>
      </c>
      <c r="K2" s="3" t="inlineStr">
        <is>
          <t>float</t>
        </is>
      </c>
      <c r="L2" s="3" t="inlineStr">
        <is>
          <t>float</t>
        </is>
      </c>
      <c r="M2" s="3" t="inlineStr">
        <is>
          <t>float</t>
        </is>
      </c>
    </row>
    <row r="3">
      <c r="A3" s="3" t="inlineStr">
        <is>
          <t>##</t>
        </is>
      </c>
      <c r="B3" s="3" t="inlineStr">
        <is>
          <t>角色等级和波次</t>
        </is>
      </c>
      <c r="C3" s="3" t="inlineStr">
        <is>
          <t>时间点_30s</t>
        </is>
      </c>
      <c r="D3" s="3" t="inlineStr">
        <is>
          <t>阵容</t>
        </is>
      </c>
      <c r="E3" s="3" t="inlineStr">
        <is>
          <t>选技能次数</t>
        </is>
      </c>
      <c r="F3" s="3" t="inlineStr">
        <is>
          <t>总次数</t>
        </is>
      </c>
      <c r="G3" s="3" t="inlineStr">
        <is>
          <t>消除倍率</t>
        </is>
      </c>
      <c r="H3" s="3" t="inlineStr">
        <is>
          <t>每块小兵增加期望值</t>
        </is>
      </c>
      <c r="I3" s="3" t="inlineStr">
        <is>
          <t>初始战力</t>
        </is>
      </c>
      <c r="J3" s="3" t="inlineStr">
        <is>
          <t>当前阵容战力</t>
        </is>
      </c>
      <c r="K3" s="3" t="inlineStr">
        <is>
          <t>战力产出效率</t>
        </is>
      </c>
      <c r="L3" s="3" t="inlineStr">
        <is>
          <t>每波怪物总战力</t>
        </is>
      </c>
      <c r="M3" s="3" t="inlineStr">
        <is>
          <t>平均相当于多少个上阵角色</t>
        </is>
      </c>
    </row>
    <row r="4">
      <c r="B4" s="4" t="n">
        <v>1601</v>
      </c>
      <c r="C4" s="4" t="n">
        <v>30</v>
      </c>
      <c r="D4" s="4" t="inlineStr">
        <is>
          <t>['弓箭手', '士兵', '弓']</t>
        </is>
      </c>
      <c r="E4" s="4" t="n">
        <v>1</v>
      </c>
      <c r="F4" s="4">
        <f>SUM($E$4:$E4)</f>
        <v/>
      </c>
      <c r="G4" s="4" t="n">
        <v>1</v>
      </c>
      <c r="H4" s="4" t="n">
        <v>0</v>
      </c>
      <c r="I4" s="4" t="n">
        <v>195593.9</v>
      </c>
      <c r="J4" s="4" t="n">
        <v>207053.7</v>
      </c>
      <c r="K4" s="4" t="n">
        <v>29390.7</v>
      </c>
      <c r="L4" s="4">
        <f>$K$4*30</f>
        <v/>
      </c>
      <c r="M4" s="4">
        <f>ROUND($L$4/($J$4/3),0)</f>
        <v/>
      </c>
    </row>
    <row r="5">
      <c r="B5" s="4" t="n">
        <v>1602</v>
      </c>
      <c r="C5" s="4" t="n">
        <v>60</v>
      </c>
      <c r="D5" s="4" t="inlineStr">
        <is>
          <t>['弓箭手', '士兵', '弓']</t>
        </is>
      </c>
      <c r="E5" s="4" t="n">
        <v>2</v>
      </c>
      <c r="F5" s="4">
        <f>SUM($E$4:$E5)</f>
        <v/>
      </c>
      <c r="G5" s="4" t="n">
        <v>1.1</v>
      </c>
      <c r="H5" s="4" t="n">
        <v>0.1</v>
      </c>
      <c r="I5" s="4" t="n">
        <v>195593.9</v>
      </c>
      <c r="J5" s="4" t="n">
        <v>230552.8</v>
      </c>
      <c r="K5" s="4" t="n">
        <v>36947.7</v>
      </c>
      <c r="L5" s="4">
        <f>$K$5*30</f>
        <v/>
      </c>
      <c r="M5" s="4">
        <f>ROUND($L$5/($J$5/3),0)</f>
        <v/>
      </c>
    </row>
    <row r="6">
      <c r="B6" s="4" t="n">
        <v>1603</v>
      </c>
      <c r="C6" s="4" t="n">
        <v>90</v>
      </c>
      <c r="D6" s="4" t="inlineStr">
        <is>
          <t>['弓箭手', '士兵', '弓']</t>
        </is>
      </c>
      <c r="E6" s="4" t="n">
        <v>1</v>
      </c>
      <c r="F6" s="4">
        <f>SUM($E$4:$E6)</f>
        <v/>
      </c>
      <c r="G6" s="4" t="n">
        <v>1.1</v>
      </c>
      <c r="H6" s="4" t="n">
        <v>0.2</v>
      </c>
      <c r="I6" s="4" t="n">
        <v>195593.9</v>
      </c>
      <c r="J6" s="4" t="n">
        <v>242592.2</v>
      </c>
      <c r="K6" s="4" t="n">
        <v>41235.5</v>
      </c>
      <c r="L6" s="4">
        <f>$K$6*30</f>
        <v/>
      </c>
      <c r="M6" s="4">
        <f>ROUND($L$6/($J$6/3),0)</f>
        <v/>
      </c>
    </row>
    <row r="7">
      <c r="B7" s="4" t="n">
        <v>1604</v>
      </c>
      <c r="C7" s="4" t="n">
        <v>120</v>
      </c>
      <c r="D7" s="4" t="inlineStr">
        <is>
          <t>['弓箭手', '士兵', '弓']</t>
        </is>
      </c>
      <c r="E7" s="4" t="n">
        <v>1</v>
      </c>
      <c r="F7" s="4">
        <f>SUM($E$4:$E7)</f>
        <v/>
      </c>
      <c r="G7" s="4" t="n">
        <v>1.1</v>
      </c>
      <c r="H7" s="4" t="n">
        <v>0.2</v>
      </c>
      <c r="I7" s="4" t="n">
        <v>195593.9</v>
      </c>
      <c r="J7" s="4" t="n">
        <v>254824.9</v>
      </c>
      <c r="K7" s="4" t="n">
        <v>45893</v>
      </c>
      <c r="L7" s="4">
        <f>$K$7*30</f>
        <v/>
      </c>
      <c r="M7" s="4">
        <f>ROUND($L$7/($J$7/3),0)</f>
        <v/>
      </c>
    </row>
    <row r="8">
      <c r="B8" s="4" t="n">
        <v>1605</v>
      </c>
      <c r="C8" s="4" t="n">
        <v>150</v>
      </c>
      <c r="D8" s="4" t="inlineStr">
        <is>
          <t>['弓箭手', '士兵', '弓']</t>
        </is>
      </c>
      <c r="E8" s="4" t="n">
        <v>1</v>
      </c>
      <c r="F8" s="4">
        <f>SUM($E$4:$E8)</f>
        <v/>
      </c>
      <c r="G8" s="4" t="n">
        <v>1.2</v>
      </c>
      <c r="H8" s="4" t="n">
        <v>0.2</v>
      </c>
      <c r="I8" s="4" t="n">
        <v>195593.9</v>
      </c>
      <c r="J8" s="4" t="n">
        <v>267250.8</v>
      </c>
      <c r="K8" s="4" t="n">
        <v>50944.2</v>
      </c>
      <c r="L8" s="4">
        <f>$K$8*30</f>
        <v/>
      </c>
      <c r="M8" s="4">
        <f>ROUND($L$8/($J$8/3),0)</f>
        <v/>
      </c>
    </row>
    <row r="9">
      <c r="B9" s="4" t="n">
        <v>1606</v>
      </c>
      <c r="C9" s="4" t="n">
        <v>180</v>
      </c>
      <c r="D9" s="4" t="inlineStr">
        <is>
          <t>['弓箭手', '士兵', '弓']</t>
        </is>
      </c>
      <c r="E9" s="4" t="n">
        <v>1</v>
      </c>
      <c r="F9" s="4">
        <f>SUM($E$4:$E9)</f>
        <v/>
      </c>
      <c r="G9" s="4" t="n">
        <v>1.2</v>
      </c>
      <c r="H9" s="4" t="n">
        <v>0.3</v>
      </c>
      <c r="I9" s="4" t="n">
        <v>195593.9</v>
      </c>
      <c r="J9" s="4" t="n">
        <v>279869.9</v>
      </c>
      <c r="K9" s="4" t="n">
        <v>56414.7</v>
      </c>
      <c r="L9" s="4">
        <f>$K$9*30</f>
        <v/>
      </c>
      <c r="M9" s="4">
        <f>ROUND($L$9/($J$9/3),0)</f>
        <v/>
      </c>
    </row>
    <row r="10">
      <c r="B10" s="4" t="n">
        <v>1607</v>
      </c>
      <c r="C10" s="4" t="n">
        <v>210</v>
      </c>
      <c r="D10" s="4" t="inlineStr">
        <is>
          <t>['弓箭手', '士兵', '弓']</t>
        </is>
      </c>
      <c r="E10" s="4" t="n">
        <v>2</v>
      </c>
      <c r="F10" s="4">
        <f>SUM($E$4:$E10)</f>
        <v/>
      </c>
      <c r="G10" s="4" t="n">
        <v>1.3</v>
      </c>
      <c r="H10" s="4" t="n">
        <v>0.3</v>
      </c>
      <c r="I10" s="4" t="n">
        <v>195593.9</v>
      </c>
      <c r="J10" s="4" t="n">
        <v>305687.8</v>
      </c>
      <c r="K10" s="4" t="n">
        <v>68721.60000000001</v>
      </c>
      <c r="L10" s="4">
        <f>$K$10*30</f>
        <v/>
      </c>
      <c r="M10" s="4">
        <f>ROUND($L$10/($J$10/3),0)</f>
        <v/>
      </c>
    </row>
    <row r="11">
      <c r="B11" s="4" t="n">
        <v>1608</v>
      </c>
      <c r="C11" s="4" t="n">
        <v>240</v>
      </c>
      <c r="D11" s="4" t="inlineStr">
        <is>
          <t>['弓箭手', '士兵', '弓']</t>
        </is>
      </c>
      <c r="E11" s="4" t="n">
        <v>1</v>
      </c>
      <c r="F11" s="4">
        <f>SUM($E$4:$E11)</f>
        <v/>
      </c>
      <c r="G11" s="4" t="n">
        <v>1.3</v>
      </c>
      <c r="H11" s="4" t="n">
        <v>0.4</v>
      </c>
      <c r="I11" s="4" t="n">
        <v>195593.9</v>
      </c>
      <c r="J11" s="4" t="n">
        <v>318886.7</v>
      </c>
      <c r="K11" s="4" t="n">
        <v>75615.89999999999</v>
      </c>
      <c r="L11" s="4">
        <f>$K$11*30</f>
        <v/>
      </c>
      <c r="M11" s="4">
        <f>ROUND($L$11/($J$11/3),0)</f>
        <v/>
      </c>
    </row>
    <row r="12">
      <c r="B12" s="4" t="n">
        <v>1609</v>
      </c>
      <c r="C12" s="4" t="n">
        <v>270</v>
      </c>
      <c r="D12" s="4" t="inlineStr">
        <is>
          <t>['弓箭手', '士兵', '弓']</t>
        </is>
      </c>
      <c r="E12" s="4" t="n">
        <v>1</v>
      </c>
      <c r="F12" s="4">
        <f>SUM($E$4:$E12)</f>
        <v/>
      </c>
      <c r="G12" s="4" t="n">
        <v>1.3</v>
      </c>
      <c r="H12" s="4" t="n">
        <v>0.4</v>
      </c>
      <c r="I12" s="4" t="n">
        <v>195593.9</v>
      </c>
      <c r="J12" s="4" t="n">
        <v>332278.7</v>
      </c>
      <c r="K12" s="4" t="n">
        <v>83045.2</v>
      </c>
      <c r="L12" s="4">
        <f>$K$12*30</f>
        <v/>
      </c>
      <c r="M12" s="4">
        <f>ROUND($L$12/($J$12/3),0)</f>
        <v/>
      </c>
    </row>
    <row r="13">
      <c r="B13" s="4" t="n">
        <v>1610</v>
      </c>
      <c r="C13" s="4" t="n">
        <v>300</v>
      </c>
      <c r="D13" s="4" t="inlineStr">
        <is>
          <t>['弓箭手', '士兵', '弓']</t>
        </is>
      </c>
      <c r="E13" s="4" t="n">
        <v>1</v>
      </c>
      <c r="F13" s="4">
        <f>SUM($E$4:$E13)</f>
        <v/>
      </c>
      <c r="G13" s="4" t="n">
        <v>1.4</v>
      </c>
      <c r="H13" s="4" t="n">
        <v>0.5</v>
      </c>
      <c r="I13" s="4" t="n">
        <v>195593.9</v>
      </c>
      <c r="J13" s="4" t="n">
        <v>345864</v>
      </c>
      <c r="K13" s="4" t="n">
        <v>91042.39999999999</v>
      </c>
      <c r="L13" s="4">
        <f>$K$13*30</f>
        <v/>
      </c>
      <c r="M13" s="4">
        <f>ROUND($L$13/($J$13/3),0)</f>
        <v/>
      </c>
    </row>
    <row r="14">
      <c r="B14" s="4" t="n">
        <v>1611</v>
      </c>
      <c r="C14" s="4" t="n">
        <v>330</v>
      </c>
      <c r="D14" s="4" t="inlineStr">
        <is>
          <t>['弓箭手', '士兵', '弓']</t>
        </is>
      </c>
      <c r="E14" s="4" t="n">
        <v>1</v>
      </c>
      <c r="F14" s="4">
        <f>SUM($E$4:$E14)</f>
        <v/>
      </c>
      <c r="G14" s="4" t="n">
        <v>1.4</v>
      </c>
      <c r="H14" s="4" t="n">
        <v>0.5</v>
      </c>
      <c r="I14" s="4" t="n">
        <v>195593.9</v>
      </c>
      <c r="J14" s="4" t="n">
        <v>359642.6</v>
      </c>
      <c r="K14" s="4" t="n">
        <v>99642</v>
      </c>
      <c r="L14" s="4">
        <f>$K$14*30</f>
        <v/>
      </c>
      <c r="M14" s="4">
        <f>ROUND($L$14/($J$14/3),0)</f>
        <v/>
      </c>
    </row>
    <row r="15">
      <c r="B15" s="4" t="n">
        <v>1612</v>
      </c>
      <c r="C15" s="4" t="n">
        <v>360</v>
      </c>
      <c r="D15" s="4" t="inlineStr">
        <is>
          <t>['弓箭手', '士兵', '弓']</t>
        </is>
      </c>
      <c r="E15" s="4" t="n">
        <v>1</v>
      </c>
      <c r="F15" s="4">
        <f>SUM($E$4:$E15)</f>
        <v/>
      </c>
      <c r="G15" s="4" t="n">
        <v>1.4</v>
      </c>
      <c r="H15" s="4" t="n">
        <v>0.5</v>
      </c>
      <c r="I15" s="4" t="n">
        <v>195593.9</v>
      </c>
      <c r="J15" s="4" t="n">
        <v>373614.3</v>
      </c>
      <c r="K15" s="4" t="n">
        <v>108880.2</v>
      </c>
      <c r="L15" s="4">
        <f>$K$15*30</f>
        <v/>
      </c>
      <c r="M15" s="4">
        <f>ROUND($L$15/($J$15/3),0)</f>
        <v/>
      </c>
    </row>
    <row r="16">
      <c r="B16" s="4" t="n">
        <v>1613</v>
      </c>
      <c r="C16" s="4" t="n">
        <v>390</v>
      </c>
      <c r="D16" s="4" t="inlineStr">
        <is>
          <t>['弓箭手', '士兵', '弓']</t>
        </is>
      </c>
      <c r="E16" s="4" t="n">
        <v>1</v>
      </c>
      <c r="F16" s="4">
        <f>SUM($E$4:$E16)</f>
        <v/>
      </c>
      <c r="G16" s="4" t="n">
        <v>1.5</v>
      </c>
      <c r="H16" s="4" t="n">
        <v>0.6</v>
      </c>
      <c r="I16" s="4" t="n">
        <v>195593.9</v>
      </c>
      <c r="J16" s="4" t="n">
        <v>387779.4</v>
      </c>
      <c r="K16" s="4" t="n">
        <v>118795.3</v>
      </c>
      <c r="L16" s="4">
        <f>$K$16*30</f>
        <v/>
      </c>
      <c r="M16" s="4">
        <f>ROUND($L$16/($J$16/3),0)</f>
        <v/>
      </c>
    </row>
    <row r="17">
      <c r="B17" s="4" t="n">
        <v>1614</v>
      </c>
      <c r="C17" s="4" t="n">
        <v>420</v>
      </c>
      <c r="D17" s="4" t="inlineStr">
        <is>
          <t>['弓箭手', '士兵', '弓']</t>
        </is>
      </c>
      <c r="E17" s="4" t="n">
        <v>1</v>
      </c>
      <c r="F17" s="4">
        <f>SUM($E$4:$E17)</f>
        <v/>
      </c>
      <c r="G17" s="4" t="n">
        <v>1.5</v>
      </c>
      <c r="H17" s="4" t="n">
        <v>0.6</v>
      </c>
      <c r="I17" s="4" t="n">
        <v>195593.9</v>
      </c>
      <c r="J17" s="4" t="n">
        <v>402137.6</v>
      </c>
      <c r="K17" s="4" t="n">
        <v>129427.3</v>
      </c>
      <c r="L17" s="4">
        <f>$K$17*30</f>
        <v/>
      </c>
      <c r="M17" s="4">
        <f>ROUND($L$17/($J$17/3),0)</f>
        <v/>
      </c>
    </row>
    <row r="18">
      <c r="B18" s="4" t="n">
        <v>1615</v>
      </c>
      <c r="C18" s="4" t="n">
        <v>450</v>
      </c>
      <c r="D18" s="4" t="inlineStr">
        <is>
          <t>['弓箭手', '士兵', '弓']</t>
        </is>
      </c>
      <c r="E18" s="4" t="n">
        <v>1</v>
      </c>
      <c r="F18" s="4">
        <f>SUM($E$4:$E18)</f>
        <v/>
      </c>
      <c r="G18" s="4" t="n">
        <v>1.5</v>
      </c>
      <c r="H18" s="4" t="n">
        <v>0.6</v>
      </c>
      <c r="I18" s="4" t="n">
        <v>195593.9</v>
      </c>
      <c r="J18" s="4" t="n">
        <v>416689.1</v>
      </c>
      <c r="K18" s="4" t="n">
        <v>140818.4</v>
      </c>
      <c r="L18" s="4">
        <f>$K$18*30</f>
        <v/>
      </c>
      <c r="M18" s="4">
        <f>ROUND($L$18/($J$18/3),0)</f>
        <v/>
      </c>
    </row>
    <row r="19">
      <c r="B19" s="4" t="n">
        <v>1616</v>
      </c>
      <c r="C19" s="4" t="n">
        <v>480</v>
      </c>
      <c r="D19" s="4" t="inlineStr">
        <is>
          <t>['弓箭手', '士兵', '弓']</t>
        </is>
      </c>
      <c r="E19" s="4" t="n">
        <v>1</v>
      </c>
      <c r="F19" s="4">
        <f>SUM($E$4:$E19)</f>
        <v/>
      </c>
      <c r="G19" s="4" t="n">
        <v>1.6</v>
      </c>
      <c r="H19" s="4" t="n">
        <v>0.7</v>
      </c>
      <c r="I19" s="4" t="n">
        <v>195593.9</v>
      </c>
      <c r="J19" s="4" t="n">
        <v>431433.8</v>
      </c>
      <c r="K19" s="4" t="n">
        <v>153012.8</v>
      </c>
      <c r="L19" s="4">
        <f>$K$19*30</f>
        <v/>
      </c>
      <c r="M19" s="4">
        <f>ROUND($L$19/($J$19/3),0)</f>
        <v/>
      </c>
    </row>
    <row r="20">
      <c r="B20" s="4" t="n">
        <v>1617</v>
      </c>
      <c r="C20" s="4" t="n">
        <v>510</v>
      </c>
      <c r="D20" s="4" t="inlineStr">
        <is>
          <t>['弓箭手', '士兵', '弓']</t>
        </is>
      </c>
      <c r="E20" s="4" t="n">
        <v>0</v>
      </c>
      <c r="F20" s="4">
        <f>SUM($E$4:$E20)</f>
        <v/>
      </c>
      <c r="G20" s="4" t="n">
        <v>1.6</v>
      </c>
      <c r="H20" s="4" t="n">
        <v>0.7</v>
      </c>
      <c r="I20" s="4" t="n">
        <v>195593.9</v>
      </c>
      <c r="J20" s="4" t="n">
        <v>431433.8</v>
      </c>
      <c r="K20" s="4" t="n">
        <v>153012.8</v>
      </c>
      <c r="L20" s="4">
        <f>$K$20*30</f>
        <v/>
      </c>
      <c r="M20" s="4">
        <f>ROUND($L$20/($J$20/3),0)</f>
        <v/>
      </c>
    </row>
    <row r="21">
      <c r="B21" s="4" t="n">
        <v>1618</v>
      </c>
      <c r="C21" s="4" t="n">
        <v>540</v>
      </c>
      <c r="D21" s="4" t="inlineStr">
        <is>
          <t>['弓箭手', '士兵', '弓']</t>
        </is>
      </c>
      <c r="E21" s="4" t="n">
        <v>1</v>
      </c>
      <c r="F21" s="4">
        <f>SUM($E$4:$E21)</f>
        <v/>
      </c>
      <c r="G21" s="4" t="n">
        <v>1.6</v>
      </c>
      <c r="H21" s="4" t="n">
        <v>0.7</v>
      </c>
      <c r="I21" s="4" t="n">
        <v>195593.9</v>
      </c>
      <c r="J21" s="4" t="n">
        <v>446371.7</v>
      </c>
      <c r="K21" s="4" t="n">
        <v>166056.9</v>
      </c>
      <c r="L21" s="4">
        <f>$K$21*30</f>
        <v/>
      </c>
      <c r="M21" s="4">
        <f>ROUND($L$21/($J$21/3),0)</f>
        <v/>
      </c>
    </row>
    <row r="22">
      <c r="B22" s="4" t="n">
        <v>1619</v>
      </c>
      <c r="C22" s="4" t="n">
        <v>570</v>
      </c>
      <c r="D22" s="4" t="inlineStr">
        <is>
          <t>['弓箭手', '士兵', '弓']</t>
        </is>
      </c>
      <c r="E22" s="4" t="n">
        <v>1</v>
      </c>
      <c r="F22" s="4">
        <f>SUM($E$4:$E22)</f>
        <v/>
      </c>
      <c r="G22" s="4" t="n">
        <v>1.7</v>
      </c>
      <c r="H22" s="4" t="n">
        <v>0.8</v>
      </c>
      <c r="I22" s="4" t="n">
        <v>195593.9</v>
      </c>
      <c r="J22" s="4" t="n">
        <v>461502.9</v>
      </c>
      <c r="K22" s="4" t="n">
        <v>179999.6</v>
      </c>
      <c r="L22" s="4">
        <f>$K$22*30</f>
        <v/>
      </c>
      <c r="M22" s="4">
        <f>ROUND($L$22/($J$22/3),0)</f>
        <v/>
      </c>
    </row>
    <row r="23">
      <c r="B23" s="4" t="n">
        <v>1620</v>
      </c>
      <c r="C23" s="4" t="n">
        <v>600</v>
      </c>
      <c r="D23" s="4" t="inlineStr">
        <is>
          <t>['弓箭手', '士兵', '弓']</t>
        </is>
      </c>
      <c r="E23" s="4" t="n">
        <v>1</v>
      </c>
      <c r="F23" s="4">
        <f>SUM($E$4:$E23)</f>
        <v/>
      </c>
      <c r="G23" s="4" t="n">
        <v>1.7</v>
      </c>
      <c r="H23" s="4" t="n">
        <v>0.8</v>
      </c>
      <c r="I23" s="4" t="n">
        <v>195593.9</v>
      </c>
      <c r="J23" s="4" t="n">
        <v>476827.3</v>
      </c>
      <c r="K23" s="4" t="n">
        <v>194892</v>
      </c>
      <c r="L23" s="4">
        <f>$K$23*30</f>
        <v/>
      </c>
      <c r="M23" s="4">
        <f>ROUND($L$23/($J$23/3),0)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19.8" customWidth="1" min="2" max="2"/>
    <col width="19.8" customWidth="1" min="3" max="3"/>
    <col width="8.800000000000001" customWidth="1" min="4" max="4"/>
    <col width="15.4" customWidth="1" min="5" max="5"/>
    <col width="11" customWidth="1" min="6" max="6"/>
    <col width="13.2" customWidth="1" min="7" max="7"/>
    <col width="24.2" customWidth="1" min="8" max="8"/>
    <col width="13.2" customWidth="1" min="9" max="9"/>
    <col width="17.6" customWidth="1" min="10" max="10"/>
    <col width="17.6" customWidth="1" min="11" max="11"/>
    <col width="19.8" customWidth="1" min="12" max="12"/>
    <col width="30.8" customWidth="1" min="13" max="13"/>
  </cols>
  <sheetData>
    <row r="1">
      <c r="A1" s="3" t="inlineStr">
        <is>
          <t>##var</t>
        </is>
      </c>
      <c r="B1" s="3" t="inlineStr">
        <is>
          <t>角色等级和波次</t>
        </is>
      </c>
      <c r="C1" s="3" t="inlineStr">
        <is>
          <t>时间点_30s</t>
        </is>
      </c>
      <c r="D1" s="3" t="inlineStr">
        <is>
          <t>阵容</t>
        </is>
      </c>
      <c r="E1" s="3" t="inlineStr">
        <is>
          <t>选技能次数</t>
        </is>
      </c>
      <c r="F1" s="3" t="inlineStr">
        <is>
          <t>总次数</t>
        </is>
      </c>
      <c r="G1" s="3" t="inlineStr">
        <is>
          <t>消除倍率</t>
        </is>
      </c>
      <c r="H1" s="3" t="inlineStr">
        <is>
          <t>每块小兵增加期望值</t>
        </is>
      </c>
      <c r="I1" s="3" t="inlineStr">
        <is>
          <t>初始战力</t>
        </is>
      </c>
      <c r="J1" s="3" t="inlineStr">
        <is>
          <t>当前阵容战力</t>
        </is>
      </c>
      <c r="K1" s="3" t="inlineStr">
        <is>
          <t>战力产出效率</t>
        </is>
      </c>
      <c r="L1" s="3" t="inlineStr">
        <is>
          <t>每波怪物总战力</t>
        </is>
      </c>
      <c r="M1" s="3" t="inlineStr">
        <is>
          <t>平均相当于多少个上阵角色</t>
        </is>
      </c>
    </row>
    <row r="2">
      <c r="A2" s="3" t="inlineStr">
        <is>
          <t>##type</t>
        </is>
      </c>
      <c r="B2" s="3" t="inlineStr">
        <is>
          <t>int</t>
        </is>
      </c>
      <c r="C2" s="3" t="inlineStr">
        <is>
          <t>float</t>
        </is>
      </c>
      <c r="D2" s="3" t="inlineStr">
        <is>
          <t>string</t>
        </is>
      </c>
      <c r="E2" s="3" t="inlineStr">
        <is>
          <t>int</t>
        </is>
      </c>
      <c r="F2" s="3" t="inlineStr">
        <is>
          <t>int</t>
        </is>
      </c>
      <c r="G2" s="3" t="inlineStr">
        <is>
          <t>float</t>
        </is>
      </c>
      <c r="H2" s="3" t="inlineStr">
        <is>
          <t>float</t>
        </is>
      </c>
      <c r="I2" s="3" t="inlineStr">
        <is>
          <t>float</t>
        </is>
      </c>
      <c r="J2" s="3" t="inlineStr">
        <is>
          <t>float</t>
        </is>
      </c>
      <c r="K2" s="3" t="inlineStr">
        <is>
          <t>float</t>
        </is>
      </c>
      <c r="L2" s="3" t="inlineStr">
        <is>
          <t>float</t>
        </is>
      </c>
      <c r="M2" s="3" t="inlineStr">
        <is>
          <t>float</t>
        </is>
      </c>
    </row>
    <row r="3">
      <c r="A3" s="3" t="inlineStr">
        <is>
          <t>##</t>
        </is>
      </c>
      <c r="B3" s="3" t="inlineStr">
        <is>
          <t>角色等级和波次</t>
        </is>
      </c>
      <c r="C3" s="3" t="inlineStr">
        <is>
          <t>时间点_30s</t>
        </is>
      </c>
      <c r="D3" s="3" t="inlineStr">
        <is>
          <t>阵容</t>
        </is>
      </c>
      <c r="E3" s="3" t="inlineStr">
        <is>
          <t>选技能次数</t>
        </is>
      </c>
      <c r="F3" s="3" t="inlineStr">
        <is>
          <t>总次数</t>
        </is>
      </c>
      <c r="G3" s="3" t="inlineStr">
        <is>
          <t>消除倍率</t>
        </is>
      </c>
      <c r="H3" s="3" t="inlineStr">
        <is>
          <t>每块小兵增加期望值</t>
        </is>
      </c>
      <c r="I3" s="3" t="inlineStr">
        <is>
          <t>初始战力</t>
        </is>
      </c>
      <c r="J3" s="3" t="inlineStr">
        <is>
          <t>当前阵容战力</t>
        </is>
      </c>
      <c r="K3" s="3" t="inlineStr">
        <is>
          <t>战力产出效率</t>
        </is>
      </c>
      <c r="L3" s="3" t="inlineStr">
        <is>
          <t>每波怪物总战力</t>
        </is>
      </c>
      <c r="M3" s="3" t="inlineStr">
        <is>
          <t>平均相当于多少个上阵角色</t>
        </is>
      </c>
    </row>
    <row r="4">
      <c r="B4" s="4" t="n">
        <v>1501</v>
      </c>
      <c r="C4" s="4" t="n">
        <v>30</v>
      </c>
      <c r="D4" s="4" t="inlineStr">
        <is>
          <t>['弓箭手', '士兵', '弓']</t>
        </is>
      </c>
      <c r="E4" s="4" t="n">
        <v>1</v>
      </c>
      <c r="F4" s="4">
        <f>SUM($E$4:$E4)</f>
        <v/>
      </c>
      <c r="G4" s="4" t="n">
        <v>1</v>
      </c>
      <c r="H4" s="4" t="n">
        <v>0</v>
      </c>
      <c r="I4" s="4" t="n">
        <v>156475.2</v>
      </c>
      <c r="J4" s="4" t="n">
        <v>165642.9</v>
      </c>
      <c r="K4" s="4" t="n">
        <v>23512.6</v>
      </c>
      <c r="L4" s="4">
        <f>$K$4*30</f>
        <v/>
      </c>
      <c r="M4" s="4">
        <f>ROUND($L$4/($J$4/3),0)</f>
        <v/>
      </c>
    </row>
    <row r="5">
      <c r="B5" s="4" t="n">
        <v>1502</v>
      </c>
      <c r="C5" s="4" t="n">
        <v>60</v>
      </c>
      <c r="D5" s="4" t="inlineStr">
        <is>
          <t>['弓箭手', '士兵', '弓']</t>
        </is>
      </c>
      <c r="E5" s="4" t="n">
        <v>2</v>
      </c>
      <c r="F5" s="4">
        <f>SUM($E$4:$E5)</f>
        <v/>
      </c>
      <c r="G5" s="4" t="n">
        <v>1.1</v>
      </c>
      <c r="H5" s="4" t="n">
        <v>0.1</v>
      </c>
      <c r="I5" s="4" t="n">
        <v>156475.2</v>
      </c>
      <c r="J5" s="4" t="n">
        <v>184442.2</v>
      </c>
      <c r="K5" s="4" t="n">
        <v>29558.2</v>
      </c>
      <c r="L5" s="4">
        <f>$K$5*30</f>
        <v/>
      </c>
      <c r="M5" s="4">
        <f>ROUND($L$5/($J$5/3),0)</f>
        <v/>
      </c>
    </row>
    <row r="6">
      <c r="B6" s="4" t="n">
        <v>1503</v>
      </c>
      <c r="C6" s="4" t="n">
        <v>90</v>
      </c>
      <c r="D6" s="4" t="inlineStr">
        <is>
          <t>['弓箭手', '士兵', '弓']</t>
        </is>
      </c>
      <c r="E6" s="4" t="n">
        <v>1</v>
      </c>
      <c r="F6" s="4">
        <f>SUM($E$4:$E6)</f>
        <v/>
      </c>
      <c r="G6" s="4" t="n">
        <v>1.1</v>
      </c>
      <c r="H6" s="4" t="n">
        <v>0.2</v>
      </c>
      <c r="I6" s="4" t="n">
        <v>156475.2</v>
      </c>
      <c r="J6" s="4" t="n">
        <v>194073.8</v>
      </c>
      <c r="K6" s="4" t="n">
        <v>32988.4</v>
      </c>
      <c r="L6" s="4">
        <f>$K$6*30</f>
        <v/>
      </c>
      <c r="M6" s="4">
        <f>ROUND($L$6/($J$6/3),0)</f>
        <v/>
      </c>
    </row>
    <row r="7">
      <c r="B7" s="4" t="n">
        <v>1504</v>
      </c>
      <c r="C7" s="4" t="n">
        <v>120</v>
      </c>
      <c r="D7" s="4" t="inlineStr">
        <is>
          <t>['弓箭手', '士兵', '弓']</t>
        </is>
      </c>
      <c r="E7" s="4" t="n">
        <v>1</v>
      </c>
      <c r="F7" s="4">
        <f>SUM($E$4:$E7)</f>
        <v/>
      </c>
      <c r="G7" s="4" t="n">
        <v>1.1</v>
      </c>
      <c r="H7" s="4" t="n">
        <v>0.2</v>
      </c>
      <c r="I7" s="4" t="n">
        <v>156475.2</v>
      </c>
      <c r="J7" s="4" t="n">
        <v>203859.9</v>
      </c>
      <c r="K7" s="4" t="n">
        <v>36714.4</v>
      </c>
      <c r="L7" s="4">
        <f>$K$7*30</f>
        <v/>
      </c>
      <c r="M7" s="4">
        <f>ROUND($L$7/($J$7/3),0)</f>
        <v/>
      </c>
    </row>
    <row r="8">
      <c r="B8" s="4" t="n">
        <v>1505</v>
      </c>
      <c r="C8" s="4" t="n">
        <v>150</v>
      </c>
      <c r="D8" s="4" t="inlineStr">
        <is>
          <t>['弓箭手', '士兵', '弓']</t>
        </is>
      </c>
      <c r="E8" s="4" t="n">
        <v>1</v>
      </c>
      <c r="F8" s="4">
        <f>SUM($E$4:$E8)</f>
        <v/>
      </c>
      <c r="G8" s="4" t="n">
        <v>1.2</v>
      </c>
      <c r="H8" s="4" t="n">
        <v>0.2</v>
      </c>
      <c r="I8" s="4" t="n">
        <v>156475.2</v>
      </c>
      <c r="J8" s="4" t="n">
        <v>213800.6</v>
      </c>
      <c r="K8" s="4" t="n">
        <v>40755.4</v>
      </c>
      <c r="L8" s="4">
        <f>$K$8*30</f>
        <v/>
      </c>
      <c r="M8" s="4">
        <f>ROUND($L$8/($J$8/3),0)</f>
        <v/>
      </c>
    </row>
    <row r="9">
      <c r="B9" s="4" t="n">
        <v>1506</v>
      </c>
      <c r="C9" s="4" t="n">
        <v>180</v>
      </c>
      <c r="D9" s="4" t="inlineStr">
        <is>
          <t>['弓箭手', '士兵', '弓']</t>
        </is>
      </c>
      <c r="E9" s="4" t="n">
        <v>1</v>
      </c>
      <c r="F9" s="4">
        <f>SUM($E$4:$E9)</f>
        <v/>
      </c>
      <c r="G9" s="4" t="n">
        <v>1.2</v>
      </c>
      <c r="H9" s="4" t="n">
        <v>0.3</v>
      </c>
      <c r="I9" s="4" t="n">
        <v>156475.2</v>
      </c>
      <c r="J9" s="4" t="n">
        <v>223895.9</v>
      </c>
      <c r="K9" s="4" t="n">
        <v>45131.7</v>
      </c>
      <c r="L9" s="4">
        <f>$K$9*30</f>
        <v/>
      </c>
      <c r="M9" s="4">
        <f>ROUND($L$9/($J$9/3),0)</f>
        <v/>
      </c>
    </row>
    <row r="10">
      <c r="B10" s="4" t="n">
        <v>1507</v>
      </c>
      <c r="C10" s="4" t="n">
        <v>210</v>
      </c>
      <c r="D10" s="4" t="inlineStr">
        <is>
          <t>['弓箭手', '士兵', '弓']</t>
        </is>
      </c>
      <c r="E10" s="4" t="n">
        <v>2</v>
      </c>
      <c r="F10" s="4">
        <f>SUM($E$4:$E10)</f>
        <v/>
      </c>
      <c r="G10" s="4" t="n">
        <v>1.3</v>
      </c>
      <c r="H10" s="4" t="n">
        <v>0.3</v>
      </c>
      <c r="I10" s="4" t="n">
        <v>156475.2</v>
      </c>
      <c r="J10" s="4" t="n">
        <v>244550.3</v>
      </c>
      <c r="K10" s="4" t="n">
        <v>54977.3</v>
      </c>
      <c r="L10" s="4">
        <f>$K$10*30</f>
        <v/>
      </c>
      <c r="M10" s="4">
        <f>ROUND($L$10/($J$10/3),0)</f>
        <v/>
      </c>
    </row>
    <row r="11">
      <c r="B11" s="4" t="n">
        <v>1508</v>
      </c>
      <c r="C11" s="4" t="n">
        <v>240</v>
      </c>
      <c r="D11" s="4" t="inlineStr">
        <is>
          <t>['弓箭手', '士兵', '弓']</t>
        </is>
      </c>
      <c r="E11" s="4" t="n">
        <v>1</v>
      </c>
      <c r="F11" s="4">
        <f>SUM($E$4:$E11)</f>
        <v/>
      </c>
      <c r="G11" s="4" t="n">
        <v>1.3</v>
      </c>
      <c r="H11" s="4" t="n">
        <v>0.4</v>
      </c>
      <c r="I11" s="4" t="n">
        <v>156475.2</v>
      </c>
      <c r="J11" s="4" t="n">
        <v>255109.3</v>
      </c>
      <c r="K11" s="4" t="n">
        <v>60492.7</v>
      </c>
      <c r="L11" s="4">
        <f>$K$11*30</f>
        <v/>
      </c>
      <c r="M11" s="4">
        <f>ROUND($L$11/($J$11/3),0)</f>
        <v/>
      </c>
    </row>
    <row r="12">
      <c r="B12" s="4" t="n">
        <v>1509</v>
      </c>
      <c r="C12" s="4" t="n">
        <v>270</v>
      </c>
      <c r="D12" s="4" t="inlineStr">
        <is>
          <t>['弓箭手', '士兵', '弓']</t>
        </is>
      </c>
      <c r="E12" s="4" t="n">
        <v>1</v>
      </c>
      <c r="F12" s="4">
        <f>SUM($E$4:$E12)</f>
        <v/>
      </c>
      <c r="G12" s="4" t="n">
        <v>1.3</v>
      </c>
      <c r="H12" s="4" t="n">
        <v>0.4</v>
      </c>
      <c r="I12" s="4" t="n">
        <v>156475.2</v>
      </c>
      <c r="J12" s="4" t="n">
        <v>265823</v>
      </c>
      <c r="K12" s="4" t="n">
        <v>66436.2</v>
      </c>
      <c r="L12" s="4">
        <f>$K$12*30</f>
        <v/>
      </c>
      <c r="M12" s="4">
        <f>ROUND($L$12/($J$12/3),0)</f>
        <v/>
      </c>
    </row>
    <row r="13">
      <c r="B13" s="4" t="n">
        <v>1510</v>
      </c>
      <c r="C13" s="4" t="n">
        <v>300</v>
      </c>
      <c r="D13" s="4" t="inlineStr">
        <is>
          <t>['弓箭手', '士兵', '弓']</t>
        </is>
      </c>
      <c r="E13" s="4" t="n">
        <v>1</v>
      </c>
      <c r="F13" s="4">
        <f>SUM($E$4:$E13)</f>
        <v/>
      </c>
      <c r="G13" s="4" t="n">
        <v>1.4</v>
      </c>
      <c r="H13" s="4" t="n">
        <v>0.5</v>
      </c>
      <c r="I13" s="4" t="n">
        <v>156475.2</v>
      </c>
      <c r="J13" s="4" t="n">
        <v>276691.2</v>
      </c>
      <c r="K13" s="4" t="n">
        <v>72833.89999999999</v>
      </c>
      <c r="L13" s="4">
        <f>$K$13*30</f>
        <v/>
      </c>
      <c r="M13" s="4">
        <f>ROUND($L$13/($J$13/3),0)</f>
        <v/>
      </c>
    </row>
    <row r="14">
      <c r="B14" s="4" t="n">
        <v>1511</v>
      </c>
      <c r="C14" s="4" t="n">
        <v>330</v>
      </c>
      <c r="D14" s="4" t="inlineStr">
        <is>
          <t>['弓箭手', '士兵', '弓']</t>
        </is>
      </c>
      <c r="E14" s="4" t="n">
        <v>1</v>
      </c>
      <c r="F14" s="4">
        <f>SUM($E$4:$E14)</f>
        <v/>
      </c>
      <c r="G14" s="4" t="n">
        <v>1.4</v>
      </c>
      <c r="H14" s="4" t="n">
        <v>0.5</v>
      </c>
      <c r="I14" s="4" t="n">
        <v>156475.2</v>
      </c>
      <c r="J14" s="4" t="n">
        <v>287714.1</v>
      </c>
      <c r="K14" s="4" t="n">
        <v>79713.60000000001</v>
      </c>
      <c r="L14" s="4">
        <f>$K$14*30</f>
        <v/>
      </c>
      <c r="M14" s="4">
        <f>ROUND($L$14/($J$14/3),0)</f>
        <v/>
      </c>
    </row>
    <row r="15">
      <c r="B15" s="4" t="n">
        <v>1512</v>
      </c>
      <c r="C15" s="4" t="n">
        <v>360</v>
      </c>
      <c r="D15" s="4" t="inlineStr">
        <is>
          <t>['弓箭手', '士兵', '弓']</t>
        </is>
      </c>
      <c r="E15" s="4" t="n">
        <v>1</v>
      </c>
      <c r="F15" s="4">
        <f>SUM($E$4:$E15)</f>
        <v/>
      </c>
      <c r="G15" s="4" t="n">
        <v>1.4</v>
      </c>
      <c r="H15" s="4" t="n">
        <v>0.5</v>
      </c>
      <c r="I15" s="4" t="n">
        <v>156475.2</v>
      </c>
      <c r="J15" s="4" t="n">
        <v>298891.5</v>
      </c>
      <c r="K15" s="4" t="n">
        <v>87104.2</v>
      </c>
      <c r="L15" s="4">
        <f>$K$15*30</f>
        <v/>
      </c>
      <c r="M15" s="4">
        <f>ROUND($L$15/($J$15/3),0)</f>
        <v/>
      </c>
    </row>
    <row r="16">
      <c r="B16" s="4" t="n">
        <v>1513</v>
      </c>
      <c r="C16" s="4" t="n">
        <v>390</v>
      </c>
      <c r="D16" s="4" t="inlineStr">
        <is>
          <t>['弓箭手', '士兵', '弓']</t>
        </is>
      </c>
      <c r="E16" s="4" t="n">
        <v>1</v>
      </c>
      <c r="F16" s="4">
        <f>SUM($E$4:$E16)</f>
        <v/>
      </c>
      <c r="G16" s="4" t="n">
        <v>1.5</v>
      </c>
      <c r="H16" s="4" t="n">
        <v>0.6</v>
      </c>
      <c r="I16" s="4" t="n">
        <v>156475.2</v>
      </c>
      <c r="J16" s="4" t="n">
        <v>310223.5</v>
      </c>
      <c r="K16" s="4" t="n">
        <v>95036.2</v>
      </c>
      <c r="L16" s="4">
        <f>$K$16*30</f>
        <v/>
      </c>
      <c r="M16" s="4">
        <f>ROUND($L$16/($J$16/3),0)</f>
        <v/>
      </c>
    </row>
    <row r="17">
      <c r="B17" s="4" t="n">
        <v>1514</v>
      </c>
      <c r="C17" s="4" t="n">
        <v>420</v>
      </c>
      <c r="D17" s="4" t="inlineStr">
        <is>
          <t>['弓箭手', '士兵', '弓']</t>
        </is>
      </c>
      <c r="E17" s="4" t="n">
        <v>1</v>
      </c>
      <c r="F17" s="4">
        <f>SUM($E$4:$E17)</f>
        <v/>
      </c>
      <c r="G17" s="4" t="n">
        <v>1.5</v>
      </c>
      <c r="H17" s="4" t="n">
        <v>0.6</v>
      </c>
      <c r="I17" s="4" t="n">
        <v>156475.2</v>
      </c>
      <c r="J17" s="4" t="n">
        <v>321710.1</v>
      </c>
      <c r="K17" s="4" t="n">
        <v>103541.8</v>
      </c>
      <c r="L17" s="4">
        <f>$K$17*30</f>
        <v/>
      </c>
      <c r="M17" s="4">
        <f>ROUND($L$17/($J$17/3),0)</f>
        <v/>
      </c>
    </row>
    <row r="18">
      <c r="B18" s="4" t="n">
        <v>1515</v>
      </c>
      <c r="C18" s="4" t="n">
        <v>450</v>
      </c>
      <c r="D18" s="4" t="inlineStr">
        <is>
          <t>['弓箭手', '士兵', '弓']</t>
        </is>
      </c>
      <c r="E18" s="4" t="n">
        <v>1</v>
      </c>
      <c r="F18" s="4">
        <f>SUM($E$4:$E18)</f>
        <v/>
      </c>
      <c r="G18" s="4" t="n">
        <v>1.5</v>
      </c>
      <c r="H18" s="4" t="n">
        <v>0.6</v>
      </c>
      <c r="I18" s="4" t="n">
        <v>156475.2</v>
      </c>
      <c r="J18" s="4" t="n">
        <v>333351.3</v>
      </c>
      <c r="K18" s="4" t="n">
        <v>112654.7</v>
      </c>
      <c r="L18" s="4">
        <f>$K$18*30</f>
        <v/>
      </c>
      <c r="M18" s="4">
        <f>ROUND($L$18/($J$18/3),0)</f>
        <v/>
      </c>
    </row>
    <row r="19">
      <c r="B19" s="4" t="n">
        <v>1516</v>
      </c>
      <c r="C19" s="4" t="n">
        <v>480</v>
      </c>
      <c r="D19" s="4" t="inlineStr">
        <is>
          <t>['弓箭手', '士兵', '弓']</t>
        </is>
      </c>
      <c r="E19" s="4" t="n">
        <v>1</v>
      </c>
      <c r="F19" s="4">
        <f>SUM($E$4:$E19)</f>
        <v/>
      </c>
      <c r="G19" s="4" t="n">
        <v>1.6</v>
      </c>
      <c r="H19" s="4" t="n">
        <v>0.7</v>
      </c>
      <c r="I19" s="4" t="n">
        <v>156475.2</v>
      </c>
      <c r="J19" s="4" t="n">
        <v>345147</v>
      </c>
      <c r="K19" s="4" t="n">
        <v>122410.2</v>
      </c>
      <c r="L19" s="4">
        <f>$K$19*30</f>
        <v/>
      </c>
      <c r="M19" s="4">
        <f>ROUND($L$19/($J$19/3),0)</f>
        <v/>
      </c>
    </row>
    <row r="20">
      <c r="B20" s="4" t="n">
        <v>1517</v>
      </c>
      <c r="C20" s="4" t="n">
        <v>510</v>
      </c>
      <c r="D20" s="4" t="inlineStr">
        <is>
          <t>['弓箭手', '士兵', '弓']</t>
        </is>
      </c>
      <c r="E20" s="4" t="n">
        <v>0</v>
      </c>
      <c r="F20" s="4">
        <f>SUM($E$4:$E20)</f>
        <v/>
      </c>
      <c r="G20" s="4" t="n">
        <v>1.6</v>
      </c>
      <c r="H20" s="4" t="n">
        <v>0.7</v>
      </c>
      <c r="I20" s="4" t="n">
        <v>156475.2</v>
      </c>
      <c r="J20" s="4" t="n">
        <v>345147</v>
      </c>
      <c r="K20" s="4" t="n">
        <v>122410.2</v>
      </c>
      <c r="L20" s="4">
        <f>$K$20*30</f>
        <v/>
      </c>
      <c r="M20" s="4">
        <f>ROUND($L$20/($J$20/3),0)</f>
        <v/>
      </c>
    </row>
    <row r="21">
      <c r="B21" s="4" t="n">
        <v>1518</v>
      </c>
      <c r="C21" s="4" t="n">
        <v>540</v>
      </c>
      <c r="D21" s="4" t="inlineStr">
        <is>
          <t>['弓箭手', '士兵', '弓']</t>
        </is>
      </c>
      <c r="E21" s="4" t="n">
        <v>1</v>
      </c>
      <c r="F21" s="4">
        <f>SUM($E$4:$E21)</f>
        <v/>
      </c>
      <c r="G21" s="4" t="n">
        <v>1.6</v>
      </c>
      <c r="H21" s="4" t="n">
        <v>0.7</v>
      </c>
      <c r="I21" s="4" t="n">
        <v>156475.2</v>
      </c>
      <c r="J21" s="4" t="n">
        <v>357097.4</v>
      </c>
      <c r="K21" s="4" t="n">
        <v>132845.5</v>
      </c>
      <c r="L21" s="4">
        <f>$K$21*30</f>
        <v/>
      </c>
      <c r="M21" s="4">
        <f>ROUND($L$21/($J$21/3),0)</f>
        <v/>
      </c>
    </row>
    <row r="22">
      <c r="B22" s="4" t="n">
        <v>1519</v>
      </c>
      <c r="C22" s="4" t="n">
        <v>570</v>
      </c>
      <c r="D22" s="4" t="inlineStr">
        <is>
          <t>['弓箭手', '士兵', '弓']</t>
        </is>
      </c>
      <c r="E22" s="4" t="n">
        <v>1</v>
      </c>
      <c r="F22" s="4">
        <f>SUM($E$4:$E22)</f>
        <v/>
      </c>
      <c r="G22" s="4" t="n">
        <v>1.7</v>
      </c>
      <c r="H22" s="4" t="n">
        <v>0.8</v>
      </c>
      <c r="I22" s="4" t="n">
        <v>156475.2</v>
      </c>
      <c r="J22" s="4" t="n">
        <v>369202.3</v>
      </c>
      <c r="K22" s="4" t="n">
        <v>143999.7</v>
      </c>
      <c r="L22" s="4">
        <f>$K$22*30</f>
        <v/>
      </c>
      <c r="M22" s="4">
        <f>ROUND($L$22/($J$22/3),0)</f>
        <v/>
      </c>
    </row>
    <row r="23">
      <c r="B23" s="4" t="n">
        <v>1520</v>
      </c>
      <c r="C23" s="4" t="n">
        <v>600</v>
      </c>
      <c r="D23" s="4" t="inlineStr">
        <is>
          <t>['弓箭手', '士兵', '弓']</t>
        </is>
      </c>
      <c r="E23" s="4" t="n">
        <v>1</v>
      </c>
      <c r="F23" s="4">
        <f>SUM($E$4:$E23)</f>
        <v/>
      </c>
      <c r="G23" s="4" t="n">
        <v>1.7</v>
      </c>
      <c r="H23" s="4" t="n">
        <v>0.8</v>
      </c>
      <c r="I23" s="4" t="n">
        <v>156475.2</v>
      </c>
      <c r="J23" s="4" t="n">
        <v>381461.9</v>
      </c>
      <c r="K23" s="4" t="n">
        <v>155913.6</v>
      </c>
      <c r="L23" s="4">
        <f>$K$23*30</f>
        <v/>
      </c>
      <c r="M23" s="4">
        <f>ROUND($L$23/($J$23/3),0)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19.8" customWidth="1" min="2" max="2"/>
    <col width="19.8" customWidth="1" min="3" max="3"/>
    <col width="8.800000000000001" customWidth="1" min="4" max="4"/>
    <col width="15.4" customWidth="1" min="5" max="5"/>
    <col width="11" customWidth="1" min="6" max="6"/>
    <col width="13.2" customWidth="1" min="7" max="7"/>
    <col width="24.2" customWidth="1" min="8" max="8"/>
    <col width="13.2" customWidth="1" min="9" max="9"/>
    <col width="17.6" customWidth="1" min="10" max="10"/>
    <col width="17.6" customWidth="1" min="11" max="11"/>
    <col width="19.8" customWidth="1" min="12" max="12"/>
    <col width="30.8" customWidth="1" min="13" max="13"/>
  </cols>
  <sheetData>
    <row r="1">
      <c r="A1" s="3" t="inlineStr">
        <is>
          <t>##var</t>
        </is>
      </c>
      <c r="B1" s="3" t="inlineStr">
        <is>
          <t>角色等级和波次</t>
        </is>
      </c>
      <c r="C1" s="3" t="inlineStr">
        <is>
          <t>时间点_30s</t>
        </is>
      </c>
      <c r="D1" s="3" t="inlineStr">
        <is>
          <t>阵容</t>
        </is>
      </c>
      <c r="E1" s="3" t="inlineStr">
        <is>
          <t>选技能次数</t>
        </is>
      </c>
      <c r="F1" s="3" t="inlineStr">
        <is>
          <t>总次数</t>
        </is>
      </c>
      <c r="G1" s="3" t="inlineStr">
        <is>
          <t>消除倍率</t>
        </is>
      </c>
      <c r="H1" s="3" t="inlineStr">
        <is>
          <t>每块小兵增加期望值</t>
        </is>
      </c>
      <c r="I1" s="3" t="inlineStr">
        <is>
          <t>初始战力</t>
        </is>
      </c>
      <c r="J1" s="3" t="inlineStr">
        <is>
          <t>当前阵容战力</t>
        </is>
      </c>
      <c r="K1" s="3" t="inlineStr">
        <is>
          <t>战力产出效率</t>
        </is>
      </c>
      <c r="L1" s="3" t="inlineStr">
        <is>
          <t>每波怪物总战力</t>
        </is>
      </c>
      <c r="M1" s="3" t="inlineStr">
        <is>
          <t>平均相当于多少个上阵角色</t>
        </is>
      </c>
    </row>
    <row r="2">
      <c r="A2" s="3" t="inlineStr">
        <is>
          <t>##type</t>
        </is>
      </c>
      <c r="B2" s="3" t="inlineStr">
        <is>
          <t>int</t>
        </is>
      </c>
      <c r="C2" s="3" t="inlineStr">
        <is>
          <t>float</t>
        </is>
      </c>
      <c r="D2" s="3" t="inlineStr">
        <is>
          <t>string</t>
        </is>
      </c>
      <c r="E2" s="3" t="inlineStr">
        <is>
          <t>int</t>
        </is>
      </c>
      <c r="F2" s="3" t="inlineStr">
        <is>
          <t>int</t>
        </is>
      </c>
      <c r="G2" s="3" t="inlineStr">
        <is>
          <t>float</t>
        </is>
      </c>
      <c r="H2" s="3" t="inlineStr">
        <is>
          <t>float</t>
        </is>
      </c>
      <c r="I2" s="3" t="inlineStr">
        <is>
          <t>float</t>
        </is>
      </c>
      <c r="J2" s="3" t="inlineStr">
        <is>
          <t>float</t>
        </is>
      </c>
      <c r="K2" s="3" t="inlineStr">
        <is>
          <t>float</t>
        </is>
      </c>
      <c r="L2" s="3" t="inlineStr">
        <is>
          <t>float</t>
        </is>
      </c>
      <c r="M2" s="3" t="inlineStr">
        <is>
          <t>float</t>
        </is>
      </c>
    </row>
    <row r="3">
      <c r="A3" s="3" t="inlineStr">
        <is>
          <t>##</t>
        </is>
      </c>
      <c r="B3" s="3" t="inlineStr">
        <is>
          <t>角色等级和波次</t>
        </is>
      </c>
      <c r="C3" s="3" t="inlineStr">
        <is>
          <t>时间点_30s</t>
        </is>
      </c>
      <c r="D3" s="3" t="inlineStr">
        <is>
          <t>阵容</t>
        </is>
      </c>
      <c r="E3" s="3" t="inlineStr">
        <is>
          <t>选技能次数</t>
        </is>
      </c>
      <c r="F3" s="3" t="inlineStr">
        <is>
          <t>总次数</t>
        </is>
      </c>
      <c r="G3" s="3" t="inlineStr">
        <is>
          <t>消除倍率</t>
        </is>
      </c>
      <c r="H3" s="3" t="inlineStr">
        <is>
          <t>每块小兵增加期望值</t>
        </is>
      </c>
      <c r="I3" s="3" t="inlineStr">
        <is>
          <t>初始战力</t>
        </is>
      </c>
      <c r="J3" s="3" t="inlineStr">
        <is>
          <t>当前阵容战力</t>
        </is>
      </c>
      <c r="K3" s="3" t="inlineStr">
        <is>
          <t>战力产出效率</t>
        </is>
      </c>
      <c r="L3" s="3" t="inlineStr">
        <is>
          <t>每波怪物总战力</t>
        </is>
      </c>
      <c r="M3" s="3" t="inlineStr">
        <is>
          <t>平均相当于多少个上阵角色</t>
        </is>
      </c>
    </row>
    <row r="4">
      <c r="B4" s="4" t="n">
        <v>1401</v>
      </c>
      <c r="C4" s="4" t="n">
        <v>30</v>
      </c>
      <c r="D4" s="4" t="inlineStr">
        <is>
          <t>['弓箭手', '士兵', '弓']</t>
        </is>
      </c>
      <c r="E4" s="4" t="n">
        <v>1</v>
      </c>
      <c r="F4" s="4">
        <f>SUM($E$4:$E4)</f>
        <v/>
      </c>
      <c r="G4" s="4" t="n">
        <v>1</v>
      </c>
      <c r="H4" s="4" t="n">
        <v>0</v>
      </c>
      <c r="I4" s="4" t="n">
        <v>92658.60000000001</v>
      </c>
      <c r="J4" s="4" t="n">
        <v>98109.89999999999</v>
      </c>
      <c r="K4" s="4" t="n">
        <v>13926.4</v>
      </c>
      <c r="L4" s="4">
        <f>$K$4*30</f>
        <v/>
      </c>
      <c r="M4" s="4">
        <f>ROUND($L$4/($J$4/3),0)</f>
        <v/>
      </c>
    </row>
    <row r="5">
      <c r="B5" s="4" t="n">
        <v>1402</v>
      </c>
      <c r="C5" s="4" t="n">
        <v>60</v>
      </c>
      <c r="D5" s="4" t="inlineStr">
        <is>
          <t>['弓箭手', '士兵', '弓']</t>
        </is>
      </c>
      <c r="E5" s="4" t="n">
        <v>2</v>
      </c>
      <c r="F5" s="4">
        <f>SUM($E$4:$E5)</f>
        <v/>
      </c>
      <c r="G5" s="4" t="n">
        <v>1.1</v>
      </c>
      <c r="H5" s="4" t="n">
        <v>0.1</v>
      </c>
      <c r="I5" s="4" t="n">
        <v>92658.60000000001</v>
      </c>
      <c r="J5" s="4" t="n">
        <v>109288.4</v>
      </c>
      <c r="K5" s="4" t="n">
        <v>17514.2</v>
      </c>
      <c r="L5" s="4">
        <f>$K$5*30</f>
        <v/>
      </c>
      <c r="M5" s="4">
        <f>ROUND($L$5/($J$5/3),0)</f>
        <v/>
      </c>
    </row>
    <row r="6">
      <c r="B6" s="4" t="n">
        <v>1403</v>
      </c>
      <c r="C6" s="4" t="n">
        <v>90</v>
      </c>
      <c r="D6" s="4" t="inlineStr">
        <is>
          <t>['弓箭手', '士兵', '弓']</t>
        </is>
      </c>
      <c r="E6" s="4" t="n">
        <v>1</v>
      </c>
      <c r="F6" s="4">
        <f>SUM($E$4:$E6)</f>
        <v/>
      </c>
      <c r="G6" s="4" t="n">
        <v>1.1</v>
      </c>
      <c r="H6" s="4" t="n">
        <v>0.2</v>
      </c>
      <c r="I6" s="4" t="n">
        <v>92658.60000000001</v>
      </c>
      <c r="J6" s="4" t="n">
        <v>115015.7</v>
      </c>
      <c r="K6" s="4" t="n">
        <v>19550.2</v>
      </c>
      <c r="L6" s="4">
        <f>$K$6*30</f>
        <v/>
      </c>
      <c r="M6" s="4">
        <f>ROUND($L$6/($J$6/3),0)</f>
        <v/>
      </c>
    </row>
    <row r="7">
      <c r="B7" s="4" t="n">
        <v>1404</v>
      </c>
      <c r="C7" s="4" t="n">
        <v>120</v>
      </c>
      <c r="D7" s="4" t="inlineStr">
        <is>
          <t>['弓箭手', '士兵', '弓']</t>
        </is>
      </c>
      <c r="E7" s="4" t="n">
        <v>1</v>
      </c>
      <c r="F7" s="4">
        <f>SUM($E$4:$E7)</f>
        <v/>
      </c>
      <c r="G7" s="4" t="n">
        <v>1.1</v>
      </c>
      <c r="H7" s="4" t="n">
        <v>0.2</v>
      </c>
      <c r="I7" s="4" t="n">
        <v>92658.60000000001</v>
      </c>
      <c r="J7" s="4" t="n">
        <v>120835</v>
      </c>
      <c r="K7" s="4" t="n">
        <v>21761.9</v>
      </c>
      <c r="L7" s="4">
        <f>$K$7*30</f>
        <v/>
      </c>
      <c r="M7" s="4">
        <f>ROUND($L$7/($J$7/3),0)</f>
        <v/>
      </c>
    </row>
    <row r="8">
      <c r="B8" s="4" t="n">
        <v>1405</v>
      </c>
      <c r="C8" s="4" t="n">
        <v>150</v>
      </c>
      <c r="D8" s="4" t="inlineStr">
        <is>
          <t>['弓箭手', '士兵', '弓']</t>
        </is>
      </c>
      <c r="E8" s="4" t="n">
        <v>1</v>
      </c>
      <c r="F8" s="4">
        <f>SUM($E$4:$E8)</f>
        <v/>
      </c>
      <c r="G8" s="4" t="n">
        <v>1.2</v>
      </c>
      <c r="H8" s="4" t="n">
        <v>0.2</v>
      </c>
      <c r="I8" s="4" t="n">
        <v>92658.60000000001</v>
      </c>
      <c r="J8" s="4" t="n">
        <v>126746.2</v>
      </c>
      <c r="K8" s="4" t="n">
        <v>24160.8</v>
      </c>
      <c r="L8" s="4">
        <f>$K$8*30</f>
        <v/>
      </c>
      <c r="M8" s="4">
        <f>ROUND($L$8/($J$8/3),0)</f>
        <v/>
      </c>
    </row>
    <row r="9">
      <c r="B9" s="4" t="n">
        <v>1406</v>
      </c>
      <c r="C9" s="4" t="n">
        <v>180</v>
      </c>
      <c r="D9" s="4" t="inlineStr">
        <is>
          <t>['弓箭手', '士兵', '弓']</t>
        </is>
      </c>
      <c r="E9" s="4" t="n">
        <v>1</v>
      </c>
      <c r="F9" s="4">
        <f>SUM($E$4:$E9)</f>
        <v/>
      </c>
      <c r="G9" s="4" t="n">
        <v>1.2</v>
      </c>
      <c r="H9" s="4" t="n">
        <v>0.3</v>
      </c>
      <c r="I9" s="4" t="n">
        <v>92658.60000000001</v>
      </c>
      <c r="J9" s="4" t="n">
        <v>132749.5</v>
      </c>
      <c r="K9" s="4" t="n">
        <v>26758.9</v>
      </c>
      <c r="L9" s="4">
        <f>$K$9*30</f>
        <v/>
      </c>
      <c r="M9" s="4">
        <f>ROUND($L$9/($J$9/3),0)</f>
        <v/>
      </c>
    </row>
    <row r="10">
      <c r="B10" s="4" t="n">
        <v>1407</v>
      </c>
      <c r="C10" s="4" t="n">
        <v>210</v>
      </c>
      <c r="D10" s="4" t="inlineStr">
        <is>
          <t>['弓箭手', '士兵', '弓']</t>
        </is>
      </c>
      <c r="E10" s="4" t="n">
        <v>2</v>
      </c>
      <c r="F10" s="4">
        <f>SUM($E$4:$E10)</f>
        <v/>
      </c>
      <c r="G10" s="4" t="n">
        <v>1.3</v>
      </c>
      <c r="H10" s="4" t="n">
        <v>0.3</v>
      </c>
      <c r="I10" s="4" t="n">
        <v>92658.60000000001</v>
      </c>
      <c r="J10" s="4" t="n">
        <v>145032.1</v>
      </c>
      <c r="K10" s="4" t="n">
        <v>32604.6</v>
      </c>
      <c r="L10" s="4">
        <f>$K$10*30</f>
        <v/>
      </c>
      <c r="M10" s="4">
        <f>ROUND($L$10/($J$10/3),0)</f>
        <v/>
      </c>
    </row>
    <row r="11">
      <c r="B11" s="4" t="n">
        <v>1408</v>
      </c>
      <c r="C11" s="4" t="n">
        <v>240</v>
      </c>
      <c r="D11" s="4" t="inlineStr">
        <is>
          <t>['弓箭手', '士兵', '弓']</t>
        </is>
      </c>
      <c r="E11" s="4" t="n">
        <v>1</v>
      </c>
      <c r="F11" s="4">
        <f>SUM($E$4:$E11)</f>
        <v/>
      </c>
      <c r="G11" s="4" t="n">
        <v>1.3</v>
      </c>
      <c r="H11" s="4" t="n">
        <v>0.4</v>
      </c>
      <c r="I11" s="4" t="n">
        <v>92658.60000000001</v>
      </c>
      <c r="J11" s="4" t="n">
        <v>151311.4</v>
      </c>
      <c r="K11" s="4" t="n">
        <v>35879.7</v>
      </c>
      <c r="L11" s="4">
        <f>$K$11*30</f>
        <v/>
      </c>
      <c r="M11" s="4">
        <f>ROUND($L$11/($J$11/3),0)</f>
        <v/>
      </c>
    </row>
    <row r="12">
      <c r="B12" s="4" t="n">
        <v>1409</v>
      </c>
      <c r="C12" s="4" t="n">
        <v>270</v>
      </c>
      <c r="D12" s="4" t="inlineStr">
        <is>
          <t>['弓箭手', '士兵', '弓']</t>
        </is>
      </c>
      <c r="E12" s="4" t="n">
        <v>1</v>
      </c>
      <c r="F12" s="4">
        <f>SUM($E$4:$E12)</f>
        <v/>
      </c>
      <c r="G12" s="4" t="n">
        <v>1.3</v>
      </c>
      <c r="H12" s="4" t="n">
        <v>0.4</v>
      </c>
      <c r="I12" s="4" t="n">
        <v>92658.60000000001</v>
      </c>
      <c r="J12" s="4" t="n">
        <v>157682.7</v>
      </c>
      <c r="K12" s="4" t="n">
        <v>39409.1</v>
      </c>
      <c r="L12" s="4">
        <f>$K$12*30</f>
        <v/>
      </c>
      <c r="M12" s="4">
        <f>ROUND($L$12/($J$12/3),0)</f>
        <v/>
      </c>
    </row>
    <row r="13">
      <c r="B13" s="4" t="n">
        <v>1410</v>
      </c>
      <c r="C13" s="4" t="n">
        <v>300</v>
      </c>
      <c r="D13" s="4" t="inlineStr">
        <is>
          <t>['弓箭手', '士兵', '弓']</t>
        </is>
      </c>
      <c r="E13" s="4" t="n">
        <v>1</v>
      </c>
      <c r="F13" s="4">
        <f>SUM($E$4:$E13)</f>
        <v/>
      </c>
      <c r="G13" s="4" t="n">
        <v>1.4</v>
      </c>
      <c r="H13" s="4" t="n">
        <v>0.5</v>
      </c>
      <c r="I13" s="4" t="n">
        <v>92658.60000000001</v>
      </c>
      <c r="J13" s="4" t="n">
        <v>164146</v>
      </c>
      <c r="K13" s="4" t="n">
        <v>43208.4</v>
      </c>
      <c r="L13" s="4">
        <f>$K$13*30</f>
        <v/>
      </c>
      <c r="M13" s="4">
        <f>ROUND($L$13/($J$13/3),0)</f>
        <v/>
      </c>
    </row>
    <row r="14">
      <c r="B14" s="4" t="n">
        <v>1411</v>
      </c>
      <c r="C14" s="4" t="n">
        <v>330</v>
      </c>
      <c r="D14" s="4" t="inlineStr">
        <is>
          <t>['弓箭手', '士兵', '弓']</t>
        </is>
      </c>
      <c r="E14" s="4" t="n">
        <v>1</v>
      </c>
      <c r="F14" s="4">
        <f>SUM($E$4:$E14)</f>
        <v/>
      </c>
      <c r="G14" s="4" t="n">
        <v>1.4</v>
      </c>
      <c r="H14" s="4" t="n">
        <v>0.5</v>
      </c>
      <c r="I14" s="4" t="n">
        <v>92658.60000000001</v>
      </c>
      <c r="J14" s="4" t="n">
        <v>170701.2</v>
      </c>
      <c r="K14" s="4" t="n">
        <v>47294.2</v>
      </c>
      <c r="L14" s="4">
        <f>$K$14*30</f>
        <v/>
      </c>
      <c r="M14" s="4">
        <f>ROUND($L$14/($J$14/3),0)</f>
        <v/>
      </c>
    </row>
    <row r="15">
      <c r="B15" s="4" t="n">
        <v>1412</v>
      </c>
      <c r="C15" s="4" t="n">
        <v>360</v>
      </c>
      <c r="D15" s="4" t="inlineStr">
        <is>
          <t>['弓箭手', '士兵', '弓']</t>
        </is>
      </c>
      <c r="E15" s="4" t="n">
        <v>1</v>
      </c>
      <c r="F15" s="4">
        <f>SUM($E$4:$E15)</f>
        <v/>
      </c>
      <c r="G15" s="4" t="n">
        <v>1.4</v>
      </c>
      <c r="H15" s="4" t="n">
        <v>0.5</v>
      </c>
      <c r="I15" s="4" t="n">
        <v>92658.60000000001</v>
      </c>
      <c r="J15" s="4" t="n">
        <v>177348.5</v>
      </c>
      <c r="K15" s="4" t="n">
        <v>51683.6</v>
      </c>
      <c r="L15" s="4">
        <f>$K$15*30</f>
        <v/>
      </c>
      <c r="M15" s="4">
        <f>ROUND($L$15/($J$15/3),0)</f>
        <v/>
      </c>
    </row>
    <row r="16">
      <c r="B16" s="4" t="n">
        <v>1413</v>
      </c>
      <c r="C16" s="4" t="n">
        <v>390</v>
      </c>
      <c r="D16" s="4" t="inlineStr">
        <is>
          <t>['弓箭手', '士兵', '弓']</t>
        </is>
      </c>
      <c r="E16" s="4" t="n">
        <v>1</v>
      </c>
      <c r="F16" s="4">
        <f>SUM($E$4:$E16)</f>
        <v/>
      </c>
      <c r="G16" s="4" t="n">
        <v>1.5</v>
      </c>
      <c r="H16" s="4" t="n">
        <v>0.6</v>
      </c>
      <c r="I16" s="4" t="n">
        <v>92658.60000000001</v>
      </c>
      <c r="J16" s="4" t="n">
        <v>184087.8</v>
      </c>
      <c r="K16" s="4" t="n">
        <v>56394.9</v>
      </c>
      <c r="L16" s="4">
        <f>$K$16*30</f>
        <v/>
      </c>
      <c r="M16" s="4">
        <f>ROUND($L$16/($J$16/3),0)</f>
        <v/>
      </c>
    </row>
    <row r="17">
      <c r="B17" s="4" t="n">
        <v>1414</v>
      </c>
      <c r="C17" s="4" t="n">
        <v>420</v>
      </c>
      <c r="D17" s="4" t="inlineStr">
        <is>
          <t>['弓箭手', '士兵', '弓']</t>
        </is>
      </c>
      <c r="E17" s="4" t="n">
        <v>1</v>
      </c>
      <c r="F17" s="4">
        <f>SUM($E$4:$E17)</f>
        <v/>
      </c>
      <c r="G17" s="4" t="n">
        <v>1.5</v>
      </c>
      <c r="H17" s="4" t="n">
        <v>0.6</v>
      </c>
      <c r="I17" s="4" t="n">
        <v>92658.60000000001</v>
      </c>
      <c r="J17" s="4" t="n">
        <v>190919.1</v>
      </c>
      <c r="K17" s="4" t="n">
        <v>61447</v>
      </c>
      <c r="L17" s="4">
        <f>$K$17*30</f>
        <v/>
      </c>
      <c r="M17" s="4">
        <f>ROUND($L$17/($J$17/3),0)</f>
        <v/>
      </c>
    </row>
    <row r="18">
      <c r="B18" s="4" t="n">
        <v>1415</v>
      </c>
      <c r="C18" s="4" t="n">
        <v>450</v>
      </c>
      <c r="D18" s="4" t="inlineStr">
        <is>
          <t>['弓箭手', '士兵', '弓']</t>
        </is>
      </c>
      <c r="E18" s="4" t="n">
        <v>1</v>
      </c>
      <c r="F18" s="4">
        <f>SUM($E$4:$E18)</f>
        <v/>
      </c>
      <c r="G18" s="4" t="n">
        <v>1.5</v>
      </c>
      <c r="H18" s="4" t="n">
        <v>0.6</v>
      </c>
      <c r="I18" s="4" t="n">
        <v>92658.60000000001</v>
      </c>
      <c r="J18" s="4" t="n">
        <v>197842.4</v>
      </c>
      <c r="K18" s="4" t="n">
        <v>66860</v>
      </c>
      <c r="L18" s="4">
        <f>$K$18*30</f>
        <v/>
      </c>
      <c r="M18" s="4">
        <f>ROUND($L$18/($J$18/3),0)</f>
        <v/>
      </c>
    </row>
    <row r="19">
      <c r="B19" s="4" t="n">
        <v>1416</v>
      </c>
      <c r="C19" s="4" t="n">
        <v>480</v>
      </c>
      <c r="D19" s="4" t="inlineStr">
        <is>
          <t>['弓箭手', '士兵', '弓']</t>
        </is>
      </c>
      <c r="E19" s="4" t="n">
        <v>1</v>
      </c>
      <c r="F19" s="4">
        <f>SUM($E$4:$E19)</f>
        <v/>
      </c>
      <c r="G19" s="4" t="n">
        <v>1.6</v>
      </c>
      <c r="H19" s="4" t="n">
        <v>0.7</v>
      </c>
      <c r="I19" s="4" t="n">
        <v>92658.60000000001</v>
      </c>
      <c r="J19" s="4" t="n">
        <v>204857.7</v>
      </c>
      <c r="K19" s="4" t="n">
        <v>72655.10000000001</v>
      </c>
      <c r="L19" s="4">
        <f>$K$19*30</f>
        <v/>
      </c>
      <c r="M19" s="4">
        <f>ROUND($L$19/($J$19/3),0)</f>
        <v/>
      </c>
    </row>
    <row r="20">
      <c r="B20" s="4" t="n">
        <v>1417</v>
      </c>
      <c r="C20" s="4" t="n">
        <v>510</v>
      </c>
      <c r="D20" s="4" t="inlineStr">
        <is>
          <t>['弓箭手', '士兵', '弓']</t>
        </is>
      </c>
      <c r="E20" s="4" t="n">
        <v>0</v>
      </c>
      <c r="F20" s="4">
        <f>SUM($E$4:$E20)</f>
        <v/>
      </c>
      <c r="G20" s="4" t="n">
        <v>1.6</v>
      </c>
      <c r="H20" s="4" t="n">
        <v>0.7</v>
      </c>
      <c r="I20" s="4" t="n">
        <v>92658.60000000001</v>
      </c>
      <c r="J20" s="4" t="n">
        <v>204857.7</v>
      </c>
      <c r="K20" s="4" t="n">
        <v>72655.10000000001</v>
      </c>
      <c r="L20" s="4">
        <f>$K$20*30</f>
        <v/>
      </c>
      <c r="M20" s="4">
        <f>ROUND($L$20/($J$20/3),0)</f>
        <v/>
      </c>
    </row>
    <row r="21">
      <c r="B21" s="4" t="n">
        <v>1418</v>
      </c>
      <c r="C21" s="4" t="n">
        <v>540</v>
      </c>
      <c r="D21" s="4" t="inlineStr">
        <is>
          <t>['弓箭手', '士兵', '弓']</t>
        </is>
      </c>
      <c r="E21" s="4" t="n">
        <v>1</v>
      </c>
      <c r="F21" s="4">
        <f>SUM($E$4:$E21)</f>
        <v/>
      </c>
      <c r="G21" s="4" t="n">
        <v>1.6</v>
      </c>
      <c r="H21" s="4" t="n">
        <v>0.7</v>
      </c>
      <c r="I21" s="4" t="n">
        <v>92658.60000000001</v>
      </c>
      <c r="J21" s="4" t="n">
        <v>211965</v>
      </c>
      <c r="K21" s="4" t="n">
        <v>78854.10000000001</v>
      </c>
      <c r="L21" s="4">
        <f>$K$21*30</f>
        <v/>
      </c>
      <c r="M21" s="4">
        <f>ROUND($L$21/($J$21/3),0)</f>
        <v/>
      </c>
    </row>
    <row r="22">
      <c r="B22" s="4" t="n">
        <v>1419</v>
      </c>
      <c r="C22" s="4" t="n">
        <v>570</v>
      </c>
      <c r="D22" s="4" t="inlineStr">
        <is>
          <t>['弓箭手', '士兵', '弓']</t>
        </is>
      </c>
      <c r="E22" s="4" t="n">
        <v>1</v>
      </c>
      <c r="F22" s="4">
        <f>SUM($E$4:$E22)</f>
        <v/>
      </c>
      <c r="G22" s="4" t="n">
        <v>1.7</v>
      </c>
      <c r="H22" s="4" t="n">
        <v>0.8</v>
      </c>
      <c r="I22" s="4" t="n">
        <v>92658.60000000001</v>
      </c>
      <c r="J22" s="4" t="n">
        <v>219164.3</v>
      </c>
      <c r="K22" s="4" t="n">
        <v>85480.5</v>
      </c>
      <c r="L22" s="4">
        <f>$K$22*30</f>
        <v/>
      </c>
      <c r="M22" s="4">
        <f>ROUND($L$22/($J$22/3),0)</f>
        <v/>
      </c>
    </row>
    <row r="23">
      <c r="B23" s="4" t="n">
        <v>1420</v>
      </c>
      <c r="C23" s="4" t="n">
        <v>600</v>
      </c>
      <c r="D23" s="4" t="inlineStr">
        <is>
          <t>['弓箭手', '士兵', '弓']</t>
        </is>
      </c>
      <c r="E23" s="4" t="n">
        <v>1</v>
      </c>
      <c r="F23" s="4">
        <f>SUM($E$4:$E23)</f>
        <v/>
      </c>
      <c r="G23" s="4" t="n">
        <v>1.7</v>
      </c>
      <c r="H23" s="4" t="n">
        <v>0.8</v>
      </c>
      <c r="I23" s="4" t="n">
        <v>92658.60000000001</v>
      </c>
      <c r="J23" s="4" t="n">
        <v>226455.6</v>
      </c>
      <c r="K23" s="4" t="n">
        <v>92558.39999999999</v>
      </c>
      <c r="L23" s="4">
        <f>$K$23*30</f>
        <v/>
      </c>
      <c r="M23" s="4">
        <f>ROUND($L$23/($J$23/3),0)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19.8" customWidth="1" min="2" max="2"/>
    <col width="19.8" customWidth="1" min="3" max="3"/>
    <col width="8.800000000000001" customWidth="1" min="4" max="4"/>
    <col width="15.4" customWidth="1" min="5" max="5"/>
    <col width="11" customWidth="1" min="6" max="6"/>
    <col width="13.2" customWidth="1" min="7" max="7"/>
    <col width="24.2" customWidth="1" min="8" max="8"/>
    <col width="13.2" customWidth="1" min="9" max="9"/>
    <col width="17.6" customWidth="1" min="10" max="10"/>
    <col width="17.6" customWidth="1" min="11" max="11"/>
    <col width="19.8" customWidth="1" min="12" max="12"/>
    <col width="30.8" customWidth="1" min="13" max="13"/>
  </cols>
  <sheetData>
    <row r="1">
      <c r="A1" s="3" t="inlineStr">
        <is>
          <t>##var</t>
        </is>
      </c>
      <c r="B1" s="3" t="inlineStr">
        <is>
          <t>角色等级和波次</t>
        </is>
      </c>
      <c r="C1" s="3" t="inlineStr">
        <is>
          <t>时间点_30s</t>
        </is>
      </c>
      <c r="D1" s="3" t="inlineStr">
        <is>
          <t>阵容</t>
        </is>
      </c>
      <c r="E1" s="3" t="inlineStr">
        <is>
          <t>选技能次数</t>
        </is>
      </c>
      <c r="F1" s="3" t="inlineStr">
        <is>
          <t>总次数</t>
        </is>
      </c>
      <c r="G1" s="3" t="inlineStr">
        <is>
          <t>消除倍率</t>
        </is>
      </c>
      <c r="H1" s="3" t="inlineStr">
        <is>
          <t>每块小兵增加期望值</t>
        </is>
      </c>
      <c r="I1" s="3" t="inlineStr">
        <is>
          <t>初始战力</t>
        </is>
      </c>
      <c r="J1" s="3" t="inlineStr">
        <is>
          <t>当前阵容战力</t>
        </is>
      </c>
      <c r="K1" s="3" t="inlineStr">
        <is>
          <t>战力产出效率</t>
        </is>
      </c>
      <c r="L1" s="3" t="inlineStr">
        <is>
          <t>每波怪物总战力</t>
        </is>
      </c>
      <c r="M1" s="3" t="inlineStr">
        <is>
          <t>平均相当于多少个上阵角色</t>
        </is>
      </c>
    </row>
    <row r="2">
      <c r="A2" s="3" t="inlineStr">
        <is>
          <t>##type</t>
        </is>
      </c>
      <c r="B2" s="3" t="inlineStr">
        <is>
          <t>int</t>
        </is>
      </c>
      <c r="C2" s="3" t="inlineStr">
        <is>
          <t>float</t>
        </is>
      </c>
      <c r="D2" s="3" t="inlineStr">
        <is>
          <t>string</t>
        </is>
      </c>
      <c r="E2" s="3" t="inlineStr">
        <is>
          <t>int</t>
        </is>
      </c>
      <c r="F2" s="3" t="inlineStr">
        <is>
          <t>int</t>
        </is>
      </c>
      <c r="G2" s="3" t="inlineStr">
        <is>
          <t>float</t>
        </is>
      </c>
      <c r="H2" s="3" t="inlineStr">
        <is>
          <t>float</t>
        </is>
      </c>
      <c r="I2" s="3" t="inlineStr">
        <is>
          <t>float</t>
        </is>
      </c>
      <c r="J2" s="3" t="inlineStr">
        <is>
          <t>float</t>
        </is>
      </c>
      <c r="K2" s="3" t="inlineStr">
        <is>
          <t>float</t>
        </is>
      </c>
      <c r="L2" s="3" t="inlineStr">
        <is>
          <t>float</t>
        </is>
      </c>
      <c r="M2" s="3" t="inlineStr">
        <is>
          <t>float</t>
        </is>
      </c>
    </row>
    <row r="3">
      <c r="A3" s="3" t="inlineStr">
        <is>
          <t>##</t>
        </is>
      </c>
      <c r="B3" s="3" t="inlineStr">
        <is>
          <t>角色等级和波次</t>
        </is>
      </c>
      <c r="C3" s="3" t="inlineStr">
        <is>
          <t>时间点_30s</t>
        </is>
      </c>
      <c r="D3" s="3" t="inlineStr">
        <is>
          <t>阵容</t>
        </is>
      </c>
      <c r="E3" s="3" t="inlineStr">
        <is>
          <t>选技能次数</t>
        </is>
      </c>
      <c r="F3" s="3" t="inlineStr">
        <is>
          <t>总次数</t>
        </is>
      </c>
      <c r="G3" s="3" t="inlineStr">
        <is>
          <t>消除倍率</t>
        </is>
      </c>
      <c r="H3" s="3" t="inlineStr">
        <is>
          <t>每块小兵增加期望值</t>
        </is>
      </c>
      <c r="I3" s="3" t="inlineStr">
        <is>
          <t>初始战力</t>
        </is>
      </c>
      <c r="J3" s="3" t="inlineStr">
        <is>
          <t>当前阵容战力</t>
        </is>
      </c>
      <c r="K3" s="3" t="inlineStr">
        <is>
          <t>战力产出效率</t>
        </is>
      </c>
      <c r="L3" s="3" t="inlineStr">
        <is>
          <t>每波怪物总战力</t>
        </is>
      </c>
      <c r="M3" s="3" t="inlineStr">
        <is>
          <t>平均相当于多少个上阵角色</t>
        </is>
      </c>
    </row>
    <row r="4">
      <c r="B4" s="4" t="n">
        <v>1301</v>
      </c>
      <c r="C4" s="4" t="n">
        <v>30</v>
      </c>
      <c r="D4" s="4" t="inlineStr">
        <is>
          <t>['弓箭手', '士兵', '弓']</t>
        </is>
      </c>
      <c r="E4" s="4" t="n">
        <v>1</v>
      </c>
      <c r="F4" s="4">
        <f>SUM($E$4:$E4)</f>
        <v/>
      </c>
      <c r="G4" s="4" t="n">
        <v>1</v>
      </c>
      <c r="H4" s="4" t="n">
        <v>0</v>
      </c>
      <c r="I4" s="4" t="n">
        <v>74126.89999999999</v>
      </c>
      <c r="J4" s="4" t="n">
        <v>78487.89999999999</v>
      </c>
      <c r="K4" s="4" t="n">
        <v>11141.1</v>
      </c>
      <c r="L4" s="4">
        <f>$K$4*30</f>
        <v/>
      </c>
      <c r="M4" s="4">
        <f>ROUND($L$4/($J$4/3),0)</f>
        <v/>
      </c>
    </row>
    <row r="5">
      <c r="B5" s="4" t="n">
        <v>1302</v>
      </c>
      <c r="C5" s="4" t="n">
        <v>60</v>
      </c>
      <c r="D5" s="4" t="inlineStr">
        <is>
          <t>['弓箭手', '士兵', '弓']</t>
        </is>
      </c>
      <c r="E5" s="4" t="n">
        <v>2</v>
      </c>
      <c r="F5" s="4">
        <f>SUM($E$4:$E5)</f>
        <v/>
      </c>
      <c r="G5" s="4" t="n">
        <v>1.1</v>
      </c>
      <c r="H5" s="4" t="n">
        <v>0.1</v>
      </c>
      <c r="I5" s="4" t="n">
        <v>74126.89999999999</v>
      </c>
      <c r="J5" s="4" t="n">
        <v>87430.7</v>
      </c>
      <c r="K5" s="4" t="n">
        <v>14011.4</v>
      </c>
      <c r="L5" s="4">
        <f>$K$5*30</f>
        <v/>
      </c>
      <c r="M5" s="4">
        <f>ROUND($L$5/($J$5/3),0)</f>
        <v/>
      </c>
    </row>
    <row r="6">
      <c r="B6" s="4" t="n">
        <v>1303</v>
      </c>
      <c r="C6" s="4" t="n">
        <v>90</v>
      </c>
      <c r="D6" s="4" t="inlineStr">
        <is>
          <t>['弓箭手', '士兵', '弓']</t>
        </is>
      </c>
      <c r="E6" s="4" t="n">
        <v>1</v>
      </c>
      <c r="F6" s="4">
        <f>SUM($E$4:$E6)</f>
        <v/>
      </c>
      <c r="G6" s="4" t="n">
        <v>1.1</v>
      </c>
      <c r="H6" s="4" t="n">
        <v>0.2</v>
      </c>
      <c r="I6" s="4" t="n">
        <v>74126.89999999999</v>
      </c>
      <c r="J6" s="4" t="n">
        <v>92012.5</v>
      </c>
      <c r="K6" s="4" t="n">
        <v>15640.2</v>
      </c>
      <c r="L6" s="4">
        <f>$K$6*30</f>
        <v/>
      </c>
      <c r="M6" s="4">
        <f>ROUND($L$6/($J$6/3),0)</f>
        <v/>
      </c>
    </row>
    <row r="7">
      <c r="B7" s="4" t="n">
        <v>1304</v>
      </c>
      <c r="C7" s="4" t="n">
        <v>120</v>
      </c>
      <c r="D7" s="4" t="inlineStr">
        <is>
          <t>['弓箭手', '士兵', '弓']</t>
        </is>
      </c>
      <c r="E7" s="4" t="n">
        <v>1</v>
      </c>
      <c r="F7" s="4">
        <f>SUM($E$4:$E7)</f>
        <v/>
      </c>
      <c r="G7" s="4" t="n">
        <v>1.1</v>
      </c>
      <c r="H7" s="4" t="n">
        <v>0.2</v>
      </c>
      <c r="I7" s="4" t="n">
        <v>74126.89999999999</v>
      </c>
      <c r="J7" s="4" t="n">
        <v>96668</v>
      </c>
      <c r="K7" s="4" t="n">
        <v>17409.5</v>
      </c>
      <c r="L7" s="4">
        <f>$K$7*30</f>
        <v/>
      </c>
      <c r="M7" s="4">
        <f>ROUND($L$7/($J$7/3),0)</f>
        <v/>
      </c>
    </row>
    <row r="8">
      <c r="B8" s="4" t="n">
        <v>1305</v>
      </c>
      <c r="C8" s="4" t="n">
        <v>150</v>
      </c>
      <c r="D8" s="4" t="inlineStr">
        <is>
          <t>['弓箭手', '士兵', '弓']</t>
        </is>
      </c>
      <c r="E8" s="4" t="n">
        <v>1</v>
      </c>
      <c r="F8" s="4">
        <f>SUM($E$4:$E8)</f>
        <v/>
      </c>
      <c r="G8" s="4" t="n">
        <v>1.2</v>
      </c>
      <c r="H8" s="4" t="n">
        <v>0.2</v>
      </c>
      <c r="I8" s="4" t="n">
        <v>74126.89999999999</v>
      </c>
      <c r="J8" s="4" t="n">
        <v>101397</v>
      </c>
      <c r="K8" s="4" t="n">
        <v>19328.6</v>
      </c>
      <c r="L8" s="4">
        <f>$K$8*30</f>
        <v/>
      </c>
      <c r="M8" s="4">
        <f>ROUND($L$8/($J$8/3),0)</f>
        <v/>
      </c>
    </row>
    <row r="9">
      <c r="B9" s="4" t="n">
        <v>1306</v>
      </c>
      <c r="C9" s="4" t="n">
        <v>180</v>
      </c>
      <c r="D9" s="4" t="inlineStr">
        <is>
          <t>['弓箭手', '士兵', '弓']</t>
        </is>
      </c>
      <c r="E9" s="4" t="n">
        <v>1</v>
      </c>
      <c r="F9" s="4">
        <f>SUM($E$4:$E9)</f>
        <v/>
      </c>
      <c r="G9" s="4" t="n">
        <v>1.2</v>
      </c>
      <c r="H9" s="4" t="n">
        <v>0.3</v>
      </c>
      <c r="I9" s="4" t="n">
        <v>74126.89999999999</v>
      </c>
      <c r="J9" s="4" t="n">
        <v>106199.6</v>
      </c>
      <c r="K9" s="4" t="n">
        <v>21407.2</v>
      </c>
      <c r="L9" s="4">
        <f>$K$9*30</f>
        <v/>
      </c>
      <c r="M9" s="4">
        <f>ROUND($L$9/($J$9/3),0)</f>
        <v/>
      </c>
    </row>
    <row r="10">
      <c r="B10" s="4" t="n">
        <v>1307</v>
      </c>
      <c r="C10" s="4" t="n">
        <v>210</v>
      </c>
      <c r="D10" s="4" t="inlineStr">
        <is>
          <t>['弓箭手', '士兵', '弓']</t>
        </is>
      </c>
      <c r="E10" s="4" t="n">
        <v>2</v>
      </c>
      <c r="F10" s="4">
        <f>SUM($E$4:$E10)</f>
        <v/>
      </c>
      <c r="G10" s="4" t="n">
        <v>1.3</v>
      </c>
      <c r="H10" s="4" t="n">
        <v>0.3</v>
      </c>
      <c r="I10" s="4" t="n">
        <v>74126.89999999999</v>
      </c>
      <c r="J10" s="4" t="n">
        <v>116025.7</v>
      </c>
      <c r="K10" s="4" t="n">
        <v>26083.7</v>
      </c>
      <c r="L10" s="4">
        <f>$K$10*30</f>
        <v/>
      </c>
      <c r="M10" s="4">
        <f>ROUND($L$10/($J$10/3),0)</f>
        <v/>
      </c>
    </row>
    <row r="11">
      <c r="B11" s="4" t="n">
        <v>1308</v>
      </c>
      <c r="C11" s="4" t="n">
        <v>240</v>
      </c>
      <c r="D11" s="4" t="inlineStr">
        <is>
          <t>['弓箭手', '士兵', '弓']</t>
        </is>
      </c>
      <c r="E11" s="4" t="n">
        <v>1</v>
      </c>
      <c r="F11" s="4">
        <f>SUM($E$4:$E11)</f>
        <v/>
      </c>
      <c r="G11" s="4" t="n">
        <v>1.3</v>
      </c>
      <c r="H11" s="4" t="n">
        <v>0.4</v>
      </c>
      <c r="I11" s="4" t="n">
        <v>74126.89999999999</v>
      </c>
      <c r="J11" s="4" t="n">
        <v>121049.1</v>
      </c>
      <c r="K11" s="4" t="n">
        <v>28703.7</v>
      </c>
      <c r="L11" s="4">
        <f>$K$11*30</f>
        <v/>
      </c>
      <c r="M11" s="4">
        <f>ROUND($L$11/($J$11/3),0)</f>
        <v/>
      </c>
    </row>
    <row r="12">
      <c r="B12" s="4" t="n">
        <v>1309</v>
      </c>
      <c r="C12" s="4" t="n">
        <v>270</v>
      </c>
      <c r="D12" s="4" t="inlineStr">
        <is>
          <t>['弓箭手', '士兵', '弓']</t>
        </is>
      </c>
      <c r="E12" s="4" t="n">
        <v>1</v>
      </c>
      <c r="F12" s="4">
        <f>SUM($E$4:$E12)</f>
        <v/>
      </c>
      <c r="G12" s="4" t="n">
        <v>1.3</v>
      </c>
      <c r="H12" s="4" t="n">
        <v>0.4</v>
      </c>
      <c r="I12" s="4" t="n">
        <v>74126.89999999999</v>
      </c>
      <c r="J12" s="4" t="n">
        <v>126146.1</v>
      </c>
      <c r="K12" s="4" t="n">
        <v>31527.3</v>
      </c>
      <c r="L12" s="4">
        <f>$K$12*30</f>
        <v/>
      </c>
      <c r="M12" s="4">
        <f>ROUND($L$12/($J$12/3),0)</f>
        <v/>
      </c>
    </row>
    <row r="13">
      <c r="B13" s="4" t="n">
        <v>1310</v>
      </c>
      <c r="C13" s="4" t="n">
        <v>300</v>
      </c>
      <c r="D13" s="4" t="inlineStr">
        <is>
          <t>['弓箭手', '士兵', '弓']</t>
        </is>
      </c>
      <c r="E13" s="4" t="n">
        <v>1</v>
      </c>
      <c r="F13" s="4">
        <f>SUM($E$4:$E13)</f>
        <v/>
      </c>
      <c r="G13" s="4" t="n">
        <v>1.4</v>
      </c>
      <c r="H13" s="4" t="n">
        <v>0.5</v>
      </c>
      <c r="I13" s="4" t="n">
        <v>74126.89999999999</v>
      </c>
      <c r="J13" s="4" t="n">
        <v>131316.8</v>
      </c>
      <c r="K13" s="4" t="n">
        <v>34566.8</v>
      </c>
      <c r="L13" s="4">
        <f>$K$13*30</f>
        <v/>
      </c>
      <c r="M13" s="4">
        <f>ROUND($L$13/($J$13/3),0)</f>
        <v/>
      </c>
    </row>
    <row r="14">
      <c r="B14" s="4" t="n">
        <v>1311</v>
      </c>
      <c r="C14" s="4" t="n">
        <v>330</v>
      </c>
      <c r="D14" s="4" t="inlineStr">
        <is>
          <t>['弓箭手', '士兵', '弓']</t>
        </is>
      </c>
      <c r="E14" s="4" t="n">
        <v>1</v>
      </c>
      <c r="F14" s="4">
        <f>SUM($E$4:$E14)</f>
        <v/>
      </c>
      <c r="G14" s="4" t="n">
        <v>1.4</v>
      </c>
      <c r="H14" s="4" t="n">
        <v>0.5</v>
      </c>
      <c r="I14" s="4" t="n">
        <v>74126.89999999999</v>
      </c>
      <c r="J14" s="4" t="n">
        <v>136561</v>
      </c>
      <c r="K14" s="4" t="n">
        <v>37835.4</v>
      </c>
      <c r="L14" s="4">
        <f>$K$14*30</f>
        <v/>
      </c>
      <c r="M14" s="4">
        <f>ROUND($L$14/($J$14/3),0)</f>
        <v/>
      </c>
    </row>
    <row r="15">
      <c r="B15" s="4" t="n">
        <v>1312</v>
      </c>
      <c r="C15" s="4" t="n">
        <v>360</v>
      </c>
      <c r="D15" s="4" t="inlineStr">
        <is>
          <t>['弓箭手', '士兵', '弓']</t>
        </is>
      </c>
      <c r="E15" s="4" t="n">
        <v>1</v>
      </c>
      <c r="F15" s="4">
        <f>SUM($E$4:$E15)</f>
        <v/>
      </c>
      <c r="G15" s="4" t="n">
        <v>1.4</v>
      </c>
      <c r="H15" s="4" t="n">
        <v>0.5</v>
      </c>
      <c r="I15" s="4" t="n">
        <v>74126.89999999999</v>
      </c>
      <c r="J15" s="4" t="n">
        <v>141878.8</v>
      </c>
      <c r="K15" s="4" t="n">
        <v>41346.9</v>
      </c>
      <c r="L15" s="4">
        <f>$K$15*30</f>
        <v/>
      </c>
      <c r="M15" s="4">
        <f>ROUND($L$15/($J$15/3),0)</f>
        <v/>
      </c>
    </row>
    <row r="16">
      <c r="B16" s="4" t="n">
        <v>1313</v>
      </c>
      <c r="C16" s="4" t="n">
        <v>390</v>
      </c>
      <c r="D16" s="4" t="inlineStr">
        <is>
          <t>['弓箭手', '士兵', '弓']</t>
        </is>
      </c>
      <c r="E16" s="4" t="n">
        <v>1</v>
      </c>
      <c r="F16" s="4">
        <f>SUM($E$4:$E16)</f>
        <v/>
      </c>
      <c r="G16" s="4" t="n">
        <v>1.5</v>
      </c>
      <c r="H16" s="4" t="n">
        <v>0.6</v>
      </c>
      <c r="I16" s="4" t="n">
        <v>74126.89999999999</v>
      </c>
      <c r="J16" s="4" t="n">
        <v>147270.3</v>
      </c>
      <c r="K16" s="4" t="n">
        <v>45115.9</v>
      </c>
      <c r="L16" s="4">
        <f>$K$16*30</f>
        <v/>
      </c>
      <c r="M16" s="4">
        <f>ROUND($L$16/($J$16/3),0)</f>
        <v/>
      </c>
    </row>
    <row r="17">
      <c r="B17" s="4" t="n">
        <v>1314</v>
      </c>
      <c r="C17" s="4" t="n">
        <v>420</v>
      </c>
      <c r="D17" s="4" t="inlineStr">
        <is>
          <t>['弓箭手', '士兵', '弓']</t>
        </is>
      </c>
      <c r="E17" s="4" t="n">
        <v>1</v>
      </c>
      <c r="F17" s="4">
        <f>SUM($E$4:$E17)</f>
        <v/>
      </c>
      <c r="G17" s="4" t="n">
        <v>1.5</v>
      </c>
      <c r="H17" s="4" t="n">
        <v>0.6</v>
      </c>
      <c r="I17" s="4" t="n">
        <v>74126.89999999999</v>
      </c>
      <c r="J17" s="4" t="n">
        <v>152735.3</v>
      </c>
      <c r="K17" s="4" t="n">
        <v>49157.6</v>
      </c>
      <c r="L17" s="4">
        <f>$K$17*30</f>
        <v/>
      </c>
      <c r="M17" s="4">
        <f>ROUND($L$17/($J$17/3),0)</f>
        <v/>
      </c>
    </row>
    <row r="18">
      <c r="B18" s="4" t="n">
        <v>1315</v>
      </c>
      <c r="C18" s="4" t="n">
        <v>450</v>
      </c>
      <c r="D18" s="4" t="inlineStr">
        <is>
          <t>['弓箭手', '士兵', '弓']</t>
        </is>
      </c>
      <c r="E18" s="4" t="n">
        <v>1</v>
      </c>
      <c r="F18" s="4">
        <f>SUM($E$4:$E18)</f>
        <v/>
      </c>
      <c r="G18" s="4" t="n">
        <v>1.5</v>
      </c>
      <c r="H18" s="4" t="n">
        <v>0.6</v>
      </c>
      <c r="I18" s="4" t="n">
        <v>74126.89999999999</v>
      </c>
      <c r="J18" s="4" t="n">
        <v>158273.9</v>
      </c>
      <c r="K18" s="4" t="n">
        <v>53488</v>
      </c>
      <c r="L18" s="4">
        <f>$K$18*30</f>
        <v/>
      </c>
      <c r="M18" s="4">
        <f>ROUND($L$18/($J$18/3),0)</f>
        <v/>
      </c>
    </row>
    <row r="19">
      <c r="B19" s="4" t="n">
        <v>1316</v>
      </c>
      <c r="C19" s="4" t="n">
        <v>480</v>
      </c>
      <c r="D19" s="4" t="inlineStr">
        <is>
          <t>['弓箭手', '士兵', '弓']</t>
        </is>
      </c>
      <c r="E19" s="4" t="n">
        <v>1</v>
      </c>
      <c r="F19" s="4">
        <f>SUM($E$4:$E19)</f>
        <v/>
      </c>
      <c r="G19" s="4" t="n">
        <v>1.6</v>
      </c>
      <c r="H19" s="4" t="n">
        <v>0.7</v>
      </c>
      <c r="I19" s="4" t="n">
        <v>74126.89999999999</v>
      </c>
      <c r="J19" s="4" t="n">
        <v>163886.2</v>
      </c>
      <c r="K19" s="4" t="n">
        <v>58124</v>
      </c>
      <c r="L19" s="4">
        <f>$K$19*30</f>
        <v/>
      </c>
      <c r="M19" s="4">
        <f>ROUND($L$19/($J$19/3),0)</f>
        <v/>
      </c>
    </row>
    <row r="20">
      <c r="B20" s="4" t="n">
        <v>1317</v>
      </c>
      <c r="C20" s="4" t="n">
        <v>510</v>
      </c>
      <c r="D20" s="4" t="inlineStr">
        <is>
          <t>['弓箭手', '士兵', '弓']</t>
        </is>
      </c>
      <c r="E20" s="4" t="n">
        <v>0</v>
      </c>
      <c r="F20" s="4">
        <f>SUM($E$4:$E20)</f>
        <v/>
      </c>
      <c r="G20" s="4" t="n">
        <v>1.6</v>
      </c>
      <c r="H20" s="4" t="n">
        <v>0.7</v>
      </c>
      <c r="I20" s="4" t="n">
        <v>74126.89999999999</v>
      </c>
      <c r="J20" s="4" t="n">
        <v>163886.2</v>
      </c>
      <c r="K20" s="4" t="n">
        <v>58124</v>
      </c>
      <c r="L20" s="4">
        <f>$K$20*30</f>
        <v/>
      </c>
      <c r="M20" s="4">
        <f>ROUND($L$20/($J$20/3),0)</f>
        <v/>
      </c>
    </row>
    <row r="21">
      <c r="B21" s="4" t="n">
        <v>1318</v>
      </c>
      <c r="C21" s="4" t="n">
        <v>540</v>
      </c>
      <c r="D21" s="4" t="inlineStr">
        <is>
          <t>['弓箭手', '士兵', '弓']</t>
        </is>
      </c>
      <c r="E21" s="4" t="n">
        <v>1</v>
      </c>
      <c r="F21" s="4">
        <f>SUM($E$4:$E21)</f>
        <v/>
      </c>
      <c r="G21" s="4" t="n">
        <v>1.6</v>
      </c>
      <c r="H21" s="4" t="n">
        <v>0.7</v>
      </c>
      <c r="I21" s="4" t="n">
        <v>74126.89999999999</v>
      </c>
      <c r="J21" s="4" t="n">
        <v>169572</v>
      </c>
      <c r="K21" s="4" t="n">
        <v>63083.3</v>
      </c>
      <c r="L21" s="4">
        <f>$K$21*30</f>
        <v/>
      </c>
      <c r="M21" s="4">
        <f>ROUND($L$21/($J$21/3),0)</f>
        <v/>
      </c>
    </row>
    <row r="22">
      <c r="B22" s="4" t="n">
        <v>1319</v>
      </c>
      <c r="C22" s="4" t="n">
        <v>570</v>
      </c>
      <c r="D22" s="4" t="inlineStr">
        <is>
          <t>['弓箭手', '士兵', '弓']</t>
        </is>
      </c>
      <c r="E22" s="4" t="n">
        <v>1</v>
      </c>
      <c r="F22" s="4">
        <f>SUM($E$4:$E22)</f>
        <v/>
      </c>
      <c r="G22" s="4" t="n">
        <v>1.7</v>
      </c>
      <c r="H22" s="4" t="n">
        <v>0.8</v>
      </c>
      <c r="I22" s="4" t="n">
        <v>74126.89999999999</v>
      </c>
      <c r="J22" s="4" t="n">
        <v>175331.5</v>
      </c>
      <c r="K22" s="4" t="n">
        <v>68384.39999999999</v>
      </c>
      <c r="L22" s="4">
        <f>$K$22*30</f>
        <v/>
      </c>
      <c r="M22" s="4">
        <f>ROUND($L$22/($J$22/3),0)</f>
        <v/>
      </c>
    </row>
    <row r="23">
      <c r="B23" s="4" t="n">
        <v>1320</v>
      </c>
      <c r="C23" s="4" t="n">
        <v>600</v>
      </c>
      <c r="D23" s="4" t="inlineStr">
        <is>
          <t>['弓箭手', '士兵', '弓']</t>
        </is>
      </c>
      <c r="E23" s="4" t="n">
        <v>1</v>
      </c>
      <c r="F23" s="4">
        <f>SUM($E$4:$E23)</f>
        <v/>
      </c>
      <c r="G23" s="4" t="n">
        <v>1.7</v>
      </c>
      <c r="H23" s="4" t="n">
        <v>0.8</v>
      </c>
      <c r="I23" s="4" t="n">
        <v>74126.89999999999</v>
      </c>
      <c r="J23" s="4" t="n">
        <v>181164.5</v>
      </c>
      <c r="K23" s="4" t="n">
        <v>74046.7</v>
      </c>
      <c r="L23" s="4">
        <f>$K$23*30</f>
        <v/>
      </c>
      <c r="M23" s="4">
        <f>ROUND($L$23/($J$23/3),0)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19.8" customWidth="1" min="2" max="2"/>
    <col width="19.8" customWidth="1" min="3" max="3"/>
    <col width="8.800000000000001" customWidth="1" min="4" max="4"/>
    <col width="15.4" customWidth="1" min="5" max="5"/>
    <col width="11" customWidth="1" min="6" max="6"/>
    <col width="13.2" customWidth="1" min="7" max="7"/>
    <col width="24.2" customWidth="1" min="8" max="8"/>
    <col width="13.2" customWidth="1" min="9" max="9"/>
    <col width="17.6" customWidth="1" min="10" max="10"/>
    <col width="17.6" customWidth="1" min="11" max="11"/>
    <col width="19.8" customWidth="1" min="12" max="12"/>
    <col width="30.8" customWidth="1" min="13" max="13"/>
  </cols>
  <sheetData>
    <row r="1">
      <c r="A1" s="3" t="inlineStr">
        <is>
          <t>##var</t>
        </is>
      </c>
      <c r="B1" s="3" t="inlineStr">
        <is>
          <t>角色等级和波次</t>
        </is>
      </c>
      <c r="C1" s="3" t="inlineStr">
        <is>
          <t>时间点_30s</t>
        </is>
      </c>
      <c r="D1" s="3" t="inlineStr">
        <is>
          <t>阵容</t>
        </is>
      </c>
      <c r="E1" s="3" t="inlineStr">
        <is>
          <t>选技能次数</t>
        </is>
      </c>
      <c r="F1" s="3" t="inlineStr">
        <is>
          <t>总次数</t>
        </is>
      </c>
      <c r="G1" s="3" t="inlineStr">
        <is>
          <t>消除倍率</t>
        </is>
      </c>
      <c r="H1" s="3" t="inlineStr">
        <is>
          <t>每块小兵增加期望值</t>
        </is>
      </c>
      <c r="I1" s="3" t="inlineStr">
        <is>
          <t>初始战力</t>
        </is>
      </c>
      <c r="J1" s="3" t="inlineStr">
        <is>
          <t>当前阵容战力</t>
        </is>
      </c>
      <c r="K1" s="3" t="inlineStr">
        <is>
          <t>战力产出效率</t>
        </is>
      </c>
      <c r="L1" s="3" t="inlineStr">
        <is>
          <t>每波怪物总战力</t>
        </is>
      </c>
      <c r="M1" s="3" t="inlineStr">
        <is>
          <t>平均相当于多少个上阵角色</t>
        </is>
      </c>
    </row>
    <row r="2">
      <c r="A2" s="3" t="inlineStr">
        <is>
          <t>##type</t>
        </is>
      </c>
      <c r="B2" s="3" t="inlineStr">
        <is>
          <t>int</t>
        </is>
      </c>
      <c r="C2" s="3" t="inlineStr">
        <is>
          <t>float</t>
        </is>
      </c>
      <c r="D2" s="3" t="inlineStr">
        <is>
          <t>string</t>
        </is>
      </c>
      <c r="E2" s="3" t="inlineStr">
        <is>
          <t>int</t>
        </is>
      </c>
      <c r="F2" s="3" t="inlineStr">
        <is>
          <t>int</t>
        </is>
      </c>
      <c r="G2" s="3" t="inlineStr">
        <is>
          <t>float</t>
        </is>
      </c>
      <c r="H2" s="3" t="inlineStr">
        <is>
          <t>float</t>
        </is>
      </c>
      <c r="I2" s="3" t="inlineStr">
        <is>
          <t>float</t>
        </is>
      </c>
      <c r="J2" s="3" t="inlineStr">
        <is>
          <t>float</t>
        </is>
      </c>
      <c r="K2" s="3" t="inlineStr">
        <is>
          <t>float</t>
        </is>
      </c>
      <c r="L2" s="3" t="inlineStr">
        <is>
          <t>float</t>
        </is>
      </c>
      <c r="M2" s="3" t="inlineStr">
        <is>
          <t>float</t>
        </is>
      </c>
    </row>
    <row r="3">
      <c r="A3" s="3" t="inlineStr">
        <is>
          <t>##</t>
        </is>
      </c>
      <c r="B3" s="3" t="inlineStr">
        <is>
          <t>角色等级和波次</t>
        </is>
      </c>
      <c r="C3" s="3" t="inlineStr">
        <is>
          <t>时间点_30s</t>
        </is>
      </c>
      <c r="D3" s="3" t="inlineStr">
        <is>
          <t>阵容</t>
        </is>
      </c>
      <c r="E3" s="3" t="inlineStr">
        <is>
          <t>选技能次数</t>
        </is>
      </c>
      <c r="F3" s="3" t="inlineStr">
        <is>
          <t>总次数</t>
        </is>
      </c>
      <c r="G3" s="3" t="inlineStr">
        <is>
          <t>消除倍率</t>
        </is>
      </c>
      <c r="H3" s="3" t="inlineStr">
        <is>
          <t>每块小兵增加期望值</t>
        </is>
      </c>
      <c r="I3" s="3" t="inlineStr">
        <is>
          <t>初始战力</t>
        </is>
      </c>
      <c r="J3" s="3" t="inlineStr">
        <is>
          <t>当前阵容战力</t>
        </is>
      </c>
      <c r="K3" s="3" t="inlineStr">
        <is>
          <t>战力产出效率</t>
        </is>
      </c>
      <c r="L3" s="3" t="inlineStr">
        <is>
          <t>每波怪物总战力</t>
        </is>
      </c>
      <c r="M3" s="3" t="inlineStr">
        <is>
          <t>平均相当于多少个上阵角色</t>
        </is>
      </c>
    </row>
    <row r="4">
      <c r="B4" s="4" t="n">
        <v>1201</v>
      </c>
      <c r="C4" s="4" t="n">
        <v>30</v>
      </c>
      <c r="D4" s="4" t="inlineStr">
        <is>
          <t>['弓箭手', '士兵', '弓']</t>
        </is>
      </c>
      <c r="E4" s="4" t="n">
        <v>1</v>
      </c>
      <c r="F4" s="4">
        <f>SUM($E$4:$E4)</f>
        <v/>
      </c>
      <c r="G4" s="4" t="n">
        <v>1</v>
      </c>
      <c r="H4" s="4" t="n">
        <v>0</v>
      </c>
      <c r="I4" s="4" t="n">
        <v>59301.5</v>
      </c>
      <c r="J4" s="4" t="n">
        <v>62790.3</v>
      </c>
      <c r="K4" s="4" t="n">
        <v>8912.9</v>
      </c>
      <c r="L4" s="4">
        <f>$K$4*30</f>
        <v/>
      </c>
      <c r="M4" s="4">
        <f>ROUND($L$4/($J$4/3),0)</f>
        <v/>
      </c>
    </row>
    <row r="5">
      <c r="B5" s="4" t="n">
        <v>1202</v>
      </c>
      <c r="C5" s="4" t="n">
        <v>60</v>
      </c>
      <c r="D5" s="4" t="inlineStr">
        <is>
          <t>['弓箭手', '士兵', '弓']</t>
        </is>
      </c>
      <c r="E5" s="4" t="n">
        <v>2</v>
      </c>
      <c r="F5" s="4">
        <f>SUM($E$4:$E5)</f>
        <v/>
      </c>
      <c r="G5" s="4" t="n">
        <v>1.1</v>
      </c>
      <c r="H5" s="4" t="n">
        <v>0.1</v>
      </c>
      <c r="I5" s="4" t="n">
        <v>59301.5</v>
      </c>
      <c r="J5" s="4" t="n">
        <v>69944.60000000001</v>
      </c>
      <c r="K5" s="4" t="n">
        <v>11209.1</v>
      </c>
      <c r="L5" s="4">
        <f>$K$5*30</f>
        <v/>
      </c>
      <c r="M5" s="4">
        <f>ROUND($L$5/($J$5/3),0)</f>
        <v/>
      </c>
    </row>
    <row r="6">
      <c r="B6" s="4" t="n">
        <v>1203</v>
      </c>
      <c r="C6" s="4" t="n">
        <v>90</v>
      </c>
      <c r="D6" s="4" t="inlineStr">
        <is>
          <t>['弓箭手', '士兵', '弓']</t>
        </is>
      </c>
      <c r="E6" s="4" t="n">
        <v>1</v>
      </c>
      <c r="F6" s="4">
        <f>SUM($E$4:$E6)</f>
        <v/>
      </c>
      <c r="G6" s="4" t="n">
        <v>1.1</v>
      </c>
      <c r="H6" s="4" t="n">
        <v>0.2</v>
      </c>
      <c r="I6" s="4" t="n">
        <v>59301.5</v>
      </c>
      <c r="J6" s="4" t="n">
        <v>73610</v>
      </c>
      <c r="K6" s="4" t="n">
        <v>12512.1</v>
      </c>
      <c r="L6" s="4">
        <f>$K$6*30</f>
        <v/>
      </c>
      <c r="M6" s="4">
        <f>ROUND($L$6/($J$6/3),0)</f>
        <v/>
      </c>
    </row>
    <row r="7">
      <c r="B7" s="4" t="n">
        <v>1204</v>
      </c>
      <c r="C7" s="4" t="n">
        <v>120</v>
      </c>
      <c r="D7" s="4" t="inlineStr">
        <is>
          <t>['弓箭手', '士兵', '弓']</t>
        </is>
      </c>
      <c r="E7" s="4" t="n">
        <v>1</v>
      </c>
      <c r="F7" s="4">
        <f>SUM($E$4:$E7)</f>
        <v/>
      </c>
      <c r="G7" s="4" t="n">
        <v>1.1</v>
      </c>
      <c r="H7" s="4" t="n">
        <v>0.2</v>
      </c>
      <c r="I7" s="4" t="n">
        <v>59301.5</v>
      </c>
      <c r="J7" s="4" t="n">
        <v>77334.39999999999</v>
      </c>
      <c r="K7" s="4" t="n">
        <v>13927.6</v>
      </c>
      <c r="L7" s="4">
        <f>$K$7*30</f>
        <v/>
      </c>
      <c r="M7" s="4">
        <f>ROUND($L$7/($J$7/3),0)</f>
        <v/>
      </c>
    </row>
    <row r="8">
      <c r="B8" s="4" t="n">
        <v>1205</v>
      </c>
      <c r="C8" s="4" t="n">
        <v>150</v>
      </c>
      <c r="D8" s="4" t="inlineStr">
        <is>
          <t>['弓箭手', '士兵', '弓']</t>
        </is>
      </c>
      <c r="E8" s="4" t="n">
        <v>1</v>
      </c>
      <c r="F8" s="4">
        <f>SUM($E$4:$E8)</f>
        <v/>
      </c>
      <c r="G8" s="4" t="n">
        <v>1.2</v>
      </c>
      <c r="H8" s="4" t="n">
        <v>0.2</v>
      </c>
      <c r="I8" s="4" t="n">
        <v>59301.5</v>
      </c>
      <c r="J8" s="4" t="n">
        <v>81117.60000000001</v>
      </c>
      <c r="K8" s="4" t="n">
        <v>15462.9</v>
      </c>
      <c r="L8" s="4">
        <f>$K$8*30</f>
        <v/>
      </c>
      <c r="M8" s="4">
        <f>ROUND($L$8/($J$8/3),0)</f>
        <v/>
      </c>
    </row>
    <row r="9">
      <c r="B9" s="4" t="n">
        <v>1206</v>
      </c>
      <c r="C9" s="4" t="n">
        <v>180</v>
      </c>
      <c r="D9" s="4" t="inlineStr">
        <is>
          <t>['弓箭手', '士兵', '弓']</t>
        </is>
      </c>
      <c r="E9" s="4" t="n">
        <v>1</v>
      </c>
      <c r="F9" s="4">
        <f>SUM($E$4:$E9)</f>
        <v/>
      </c>
      <c r="G9" s="4" t="n">
        <v>1.2</v>
      </c>
      <c r="H9" s="4" t="n">
        <v>0.3</v>
      </c>
      <c r="I9" s="4" t="n">
        <v>59301.5</v>
      </c>
      <c r="J9" s="4" t="n">
        <v>84959.7</v>
      </c>
      <c r="K9" s="4" t="n">
        <v>17125.7</v>
      </c>
      <c r="L9" s="4">
        <f>$K$9*30</f>
        <v/>
      </c>
      <c r="M9" s="4">
        <f>ROUND($L$9/($J$9/3),0)</f>
        <v/>
      </c>
    </row>
    <row r="10">
      <c r="B10" s="4" t="n">
        <v>1207</v>
      </c>
      <c r="C10" s="4" t="n">
        <v>210</v>
      </c>
      <c r="D10" s="4" t="inlineStr">
        <is>
          <t>['弓箭手', '士兵', '弓']</t>
        </is>
      </c>
      <c r="E10" s="4" t="n">
        <v>2</v>
      </c>
      <c r="F10" s="4">
        <f>SUM($E$4:$E10)</f>
        <v/>
      </c>
      <c r="G10" s="4" t="n">
        <v>1.3</v>
      </c>
      <c r="H10" s="4" t="n">
        <v>0.3</v>
      </c>
      <c r="I10" s="4" t="n">
        <v>59301.5</v>
      </c>
      <c r="J10" s="4" t="n">
        <v>92820.5</v>
      </c>
      <c r="K10" s="4" t="n">
        <v>20867</v>
      </c>
      <c r="L10" s="4">
        <f>$K$10*30</f>
        <v/>
      </c>
      <c r="M10" s="4">
        <f>ROUND($L$10/($J$10/3),0)</f>
        <v/>
      </c>
    </row>
    <row r="11">
      <c r="B11" s="4" t="n">
        <v>1208</v>
      </c>
      <c r="C11" s="4" t="n">
        <v>240</v>
      </c>
      <c r="D11" s="4" t="inlineStr">
        <is>
          <t>['弓箭手', '士兵', '弓']</t>
        </is>
      </c>
      <c r="E11" s="4" t="n">
        <v>1</v>
      </c>
      <c r="F11" s="4">
        <f>SUM($E$4:$E11)</f>
        <v/>
      </c>
      <c r="G11" s="4" t="n">
        <v>1.3</v>
      </c>
      <c r="H11" s="4" t="n">
        <v>0.4</v>
      </c>
      <c r="I11" s="4" t="n">
        <v>59301.5</v>
      </c>
      <c r="J11" s="4" t="n">
        <v>96839.3</v>
      </c>
      <c r="K11" s="4" t="n">
        <v>22963</v>
      </c>
      <c r="L11" s="4">
        <f>$K$11*30</f>
        <v/>
      </c>
      <c r="M11" s="4">
        <f>ROUND($L$11/($J$11/3),0)</f>
        <v/>
      </c>
    </row>
    <row r="12">
      <c r="B12" s="4" t="n">
        <v>1209</v>
      </c>
      <c r="C12" s="4" t="n">
        <v>270</v>
      </c>
      <c r="D12" s="4" t="inlineStr">
        <is>
          <t>['弓箭手', '士兵', '弓']</t>
        </is>
      </c>
      <c r="E12" s="4" t="n">
        <v>1</v>
      </c>
      <c r="F12" s="4">
        <f>SUM($E$4:$E12)</f>
        <v/>
      </c>
      <c r="G12" s="4" t="n">
        <v>1.3</v>
      </c>
      <c r="H12" s="4" t="n">
        <v>0.4</v>
      </c>
      <c r="I12" s="4" t="n">
        <v>59301.5</v>
      </c>
      <c r="J12" s="4" t="n">
        <v>100916.9</v>
      </c>
      <c r="K12" s="4" t="n">
        <v>25221.8</v>
      </c>
      <c r="L12" s="4">
        <f>$K$12*30</f>
        <v/>
      </c>
      <c r="M12" s="4">
        <f>ROUND($L$12/($J$12/3),0)</f>
        <v/>
      </c>
    </row>
    <row r="13">
      <c r="B13" s="4" t="n">
        <v>1210</v>
      </c>
      <c r="C13" s="4" t="n">
        <v>300</v>
      </c>
      <c r="D13" s="4" t="inlineStr">
        <is>
          <t>['弓箭手', '士兵', '弓']</t>
        </is>
      </c>
      <c r="E13" s="4" t="n">
        <v>1</v>
      </c>
      <c r="F13" s="4">
        <f>SUM($E$4:$E13)</f>
        <v/>
      </c>
      <c r="G13" s="4" t="n">
        <v>1.4</v>
      </c>
      <c r="H13" s="4" t="n">
        <v>0.5</v>
      </c>
      <c r="I13" s="4" t="n">
        <v>59301.5</v>
      </c>
      <c r="J13" s="4" t="n">
        <v>105053.4</v>
      </c>
      <c r="K13" s="4" t="n">
        <v>27653.4</v>
      </c>
      <c r="L13" s="4">
        <f>$K$13*30</f>
        <v/>
      </c>
      <c r="M13" s="4">
        <f>ROUND($L$13/($J$13/3),0)</f>
        <v/>
      </c>
    </row>
    <row r="14">
      <c r="B14" s="4" t="n">
        <v>1211</v>
      </c>
      <c r="C14" s="4" t="n">
        <v>330</v>
      </c>
      <c r="D14" s="4" t="inlineStr">
        <is>
          <t>['弓箭手', '士兵', '弓']</t>
        </is>
      </c>
      <c r="E14" s="4" t="n">
        <v>1</v>
      </c>
      <c r="F14" s="4">
        <f>SUM($E$4:$E14)</f>
        <v/>
      </c>
      <c r="G14" s="4" t="n">
        <v>1.4</v>
      </c>
      <c r="H14" s="4" t="n">
        <v>0.5</v>
      </c>
      <c r="I14" s="4" t="n">
        <v>59301.5</v>
      </c>
      <c r="J14" s="4" t="n">
        <v>109248.8</v>
      </c>
      <c r="K14" s="4" t="n">
        <v>30268.3</v>
      </c>
      <c r="L14" s="4">
        <f>$K$14*30</f>
        <v/>
      </c>
      <c r="M14" s="4">
        <f>ROUND($L$14/($J$14/3),0)</f>
        <v/>
      </c>
    </row>
    <row r="15">
      <c r="B15" s="4" t="n">
        <v>1212</v>
      </c>
      <c r="C15" s="4" t="n">
        <v>360</v>
      </c>
      <c r="D15" s="4" t="inlineStr">
        <is>
          <t>['弓箭手', '士兵', '弓']</t>
        </is>
      </c>
      <c r="E15" s="4" t="n">
        <v>1</v>
      </c>
      <c r="F15" s="4">
        <f>SUM($E$4:$E15)</f>
        <v/>
      </c>
      <c r="G15" s="4" t="n">
        <v>1.4</v>
      </c>
      <c r="H15" s="4" t="n">
        <v>0.5</v>
      </c>
      <c r="I15" s="4" t="n">
        <v>59301.5</v>
      </c>
      <c r="J15" s="4" t="n">
        <v>113503.1</v>
      </c>
      <c r="K15" s="4" t="n">
        <v>33077.5</v>
      </c>
      <c r="L15" s="4">
        <f>$K$15*30</f>
        <v/>
      </c>
      <c r="M15" s="4">
        <f>ROUND($L$15/($J$15/3),0)</f>
        <v/>
      </c>
    </row>
    <row r="16">
      <c r="B16" s="4" t="n">
        <v>1213</v>
      </c>
      <c r="C16" s="4" t="n">
        <v>390</v>
      </c>
      <c r="D16" s="4" t="inlineStr">
        <is>
          <t>['弓箭手', '士兵', '弓']</t>
        </is>
      </c>
      <c r="E16" s="4" t="n">
        <v>1</v>
      </c>
      <c r="F16" s="4">
        <f>SUM($E$4:$E16)</f>
        <v/>
      </c>
      <c r="G16" s="4" t="n">
        <v>1.5</v>
      </c>
      <c r="H16" s="4" t="n">
        <v>0.6</v>
      </c>
      <c r="I16" s="4" t="n">
        <v>59301.5</v>
      </c>
      <c r="J16" s="4" t="n">
        <v>117816.2</v>
      </c>
      <c r="K16" s="4" t="n">
        <v>36092.7</v>
      </c>
      <c r="L16" s="4">
        <f>$K$16*30</f>
        <v/>
      </c>
      <c r="M16" s="4">
        <f>ROUND($L$16/($J$16/3),0)</f>
        <v/>
      </c>
    </row>
    <row r="17">
      <c r="B17" s="4" t="n">
        <v>1214</v>
      </c>
      <c r="C17" s="4" t="n">
        <v>420</v>
      </c>
      <c r="D17" s="4" t="inlineStr">
        <is>
          <t>['弓箭手', '士兵', '弓']</t>
        </is>
      </c>
      <c r="E17" s="4" t="n">
        <v>1</v>
      </c>
      <c r="F17" s="4">
        <f>SUM($E$4:$E17)</f>
        <v/>
      </c>
      <c r="G17" s="4" t="n">
        <v>1.5</v>
      </c>
      <c r="H17" s="4" t="n">
        <v>0.6</v>
      </c>
      <c r="I17" s="4" t="n">
        <v>59301.5</v>
      </c>
      <c r="J17" s="4" t="n">
        <v>122188.2</v>
      </c>
      <c r="K17" s="4" t="n">
        <v>39326.1</v>
      </c>
      <c r="L17" s="4">
        <f>$K$17*30</f>
        <v/>
      </c>
      <c r="M17" s="4">
        <f>ROUND($L$17/($J$17/3),0)</f>
        <v/>
      </c>
    </row>
    <row r="18">
      <c r="B18" s="4" t="n">
        <v>1215</v>
      </c>
      <c r="C18" s="4" t="n">
        <v>450</v>
      </c>
      <c r="D18" s="4" t="inlineStr">
        <is>
          <t>['弓箭手', '士兵', '弓']</t>
        </is>
      </c>
      <c r="E18" s="4" t="n">
        <v>1</v>
      </c>
      <c r="F18" s="4">
        <f>SUM($E$4:$E18)</f>
        <v/>
      </c>
      <c r="G18" s="4" t="n">
        <v>1.5</v>
      </c>
      <c r="H18" s="4" t="n">
        <v>0.6</v>
      </c>
      <c r="I18" s="4" t="n">
        <v>59301.5</v>
      </c>
      <c r="J18" s="4" t="n">
        <v>126619.2</v>
      </c>
      <c r="K18" s="4" t="n">
        <v>42790.4</v>
      </c>
      <c r="L18" s="4">
        <f>$K$18*30</f>
        <v/>
      </c>
      <c r="M18" s="4">
        <f>ROUND($L$18/($J$18/3),0)</f>
        <v/>
      </c>
    </row>
    <row r="19">
      <c r="B19" s="4" t="n">
        <v>1216</v>
      </c>
      <c r="C19" s="4" t="n">
        <v>480</v>
      </c>
      <c r="D19" s="4" t="inlineStr">
        <is>
          <t>['弓箭手', '士兵', '弓']</t>
        </is>
      </c>
      <c r="E19" s="4" t="n">
        <v>1</v>
      </c>
      <c r="F19" s="4">
        <f>SUM($E$4:$E19)</f>
        <v/>
      </c>
      <c r="G19" s="4" t="n">
        <v>1.6</v>
      </c>
      <c r="H19" s="4" t="n">
        <v>0.7</v>
      </c>
      <c r="I19" s="4" t="n">
        <v>59301.5</v>
      </c>
      <c r="J19" s="4" t="n">
        <v>131108.9</v>
      </c>
      <c r="K19" s="4" t="n">
        <v>46499.2</v>
      </c>
      <c r="L19" s="4">
        <f>$K$19*30</f>
        <v/>
      </c>
      <c r="M19" s="4">
        <f>ROUND($L$19/($J$19/3),0)</f>
        <v/>
      </c>
    </row>
    <row r="20">
      <c r="B20" s="4" t="n">
        <v>1217</v>
      </c>
      <c r="C20" s="4" t="n">
        <v>510</v>
      </c>
      <c r="D20" s="4" t="inlineStr">
        <is>
          <t>['弓箭手', '士兵', '弓']</t>
        </is>
      </c>
      <c r="E20" s="4" t="n">
        <v>0</v>
      </c>
      <c r="F20" s="4">
        <f>SUM($E$4:$E20)</f>
        <v/>
      </c>
      <c r="G20" s="4" t="n">
        <v>1.6</v>
      </c>
      <c r="H20" s="4" t="n">
        <v>0.7</v>
      </c>
      <c r="I20" s="4" t="n">
        <v>59301.5</v>
      </c>
      <c r="J20" s="4" t="n">
        <v>131108.9</v>
      </c>
      <c r="K20" s="4" t="n">
        <v>46499.2</v>
      </c>
      <c r="L20" s="4">
        <f>$K$20*30</f>
        <v/>
      </c>
      <c r="M20" s="4">
        <f>ROUND($L$20/($J$20/3),0)</f>
        <v/>
      </c>
    </row>
    <row r="21">
      <c r="B21" s="4" t="n">
        <v>1218</v>
      </c>
      <c r="C21" s="4" t="n">
        <v>540</v>
      </c>
      <c r="D21" s="4" t="inlineStr">
        <is>
          <t>['弓箭手', '士兵', '弓']</t>
        </is>
      </c>
      <c r="E21" s="4" t="n">
        <v>1</v>
      </c>
      <c r="F21" s="4">
        <f>SUM($E$4:$E21)</f>
        <v/>
      </c>
      <c r="G21" s="4" t="n">
        <v>1.6</v>
      </c>
      <c r="H21" s="4" t="n">
        <v>0.7</v>
      </c>
      <c r="I21" s="4" t="n">
        <v>59301.5</v>
      </c>
      <c r="J21" s="4" t="n">
        <v>135657.6</v>
      </c>
      <c r="K21" s="4" t="n">
        <v>50466.6</v>
      </c>
      <c r="L21" s="4">
        <f>$K$21*30</f>
        <v/>
      </c>
      <c r="M21" s="4">
        <f>ROUND($L$21/($J$21/3),0)</f>
        <v/>
      </c>
    </row>
    <row r="22">
      <c r="B22" s="4" t="n">
        <v>1219</v>
      </c>
      <c r="C22" s="4" t="n">
        <v>570</v>
      </c>
      <c r="D22" s="4" t="inlineStr">
        <is>
          <t>['弓箭手', '士兵', '弓']</t>
        </is>
      </c>
      <c r="E22" s="4" t="n">
        <v>1</v>
      </c>
      <c r="F22" s="4">
        <f>SUM($E$4:$E22)</f>
        <v/>
      </c>
      <c r="G22" s="4" t="n">
        <v>1.7</v>
      </c>
      <c r="H22" s="4" t="n">
        <v>0.8</v>
      </c>
      <c r="I22" s="4" t="n">
        <v>59301.5</v>
      </c>
      <c r="J22" s="4" t="n">
        <v>140265.2</v>
      </c>
      <c r="K22" s="4" t="n">
        <v>54707.5</v>
      </c>
      <c r="L22" s="4">
        <f>$K$22*30</f>
        <v/>
      </c>
      <c r="M22" s="4">
        <f>ROUND($L$22/($J$22/3),0)</f>
        <v/>
      </c>
    </row>
    <row r="23">
      <c r="B23" s="4" t="n">
        <v>1220</v>
      </c>
      <c r="C23" s="4" t="n">
        <v>600</v>
      </c>
      <c r="D23" s="4" t="inlineStr">
        <is>
          <t>['弓箭手', '士兵', '弓']</t>
        </is>
      </c>
      <c r="E23" s="4" t="n">
        <v>1</v>
      </c>
      <c r="F23" s="4">
        <f>SUM($E$4:$E23)</f>
        <v/>
      </c>
      <c r="G23" s="4" t="n">
        <v>1.7</v>
      </c>
      <c r="H23" s="4" t="n">
        <v>0.8</v>
      </c>
      <c r="I23" s="4" t="n">
        <v>59301.5</v>
      </c>
      <c r="J23" s="4" t="n">
        <v>144931.6</v>
      </c>
      <c r="K23" s="4" t="n">
        <v>59237.4</v>
      </c>
      <c r="L23" s="4">
        <f>$K$23*30</f>
        <v/>
      </c>
      <c r="M23" s="4">
        <f>ROUND($L$23/($J$23/3),0)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19.8" customWidth="1" min="2" max="2"/>
    <col width="19.8" customWidth="1" min="3" max="3"/>
    <col width="8.800000000000001" customWidth="1" min="4" max="4"/>
    <col width="15.4" customWidth="1" min="5" max="5"/>
    <col width="11" customWidth="1" min="6" max="6"/>
    <col width="13.2" customWidth="1" min="7" max="7"/>
    <col width="24.2" customWidth="1" min="8" max="8"/>
    <col width="13.2" customWidth="1" min="9" max="9"/>
    <col width="17.6" customWidth="1" min="10" max="10"/>
    <col width="17.6" customWidth="1" min="11" max="11"/>
    <col width="19.8" customWidth="1" min="12" max="12"/>
    <col width="30.8" customWidth="1" min="13" max="13"/>
  </cols>
  <sheetData>
    <row r="1">
      <c r="A1" s="3" t="inlineStr">
        <is>
          <t>##var</t>
        </is>
      </c>
      <c r="B1" s="3" t="inlineStr">
        <is>
          <t>角色等级和波次</t>
        </is>
      </c>
      <c r="C1" s="3" t="inlineStr">
        <is>
          <t>时间点_30s</t>
        </is>
      </c>
      <c r="D1" s="3" t="inlineStr">
        <is>
          <t>阵容</t>
        </is>
      </c>
      <c r="E1" s="3" t="inlineStr">
        <is>
          <t>选技能次数</t>
        </is>
      </c>
      <c r="F1" s="3" t="inlineStr">
        <is>
          <t>总次数</t>
        </is>
      </c>
      <c r="G1" s="3" t="inlineStr">
        <is>
          <t>消除倍率</t>
        </is>
      </c>
      <c r="H1" s="3" t="inlineStr">
        <is>
          <t>每块小兵增加期望值</t>
        </is>
      </c>
      <c r="I1" s="3" t="inlineStr">
        <is>
          <t>初始战力</t>
        </is>
      </c>
      <c r="J1" s="3" t="inlineStr">
        <is>
          <t>当前阵容战力</t>
        </is>
      </c>
      <c r="K1" s="3" t="inlineStr">
        <is>
          <t>战力产出效率</t>
        </is>
      </c>
      <c r="L1" s="3" t="inlineStr">
        <is>
          <t>每波怪物总战力</t>
        </is>
      </c>
      <c r="M1" s="3" t="inlineStr">
        <is>
          <t>平均相当于多少个上阵角色</t>
        </is>
      </c>
    </row>
    <row r="2">
      <c r="A2" s="3" t="inlineStr">
        <is>
          <t>##type</t>
        </is>
      </c>
      <c r="B2" s="3" t="inlineStr">
        <is>
          <t>int</t>
        </is>
      </c>
      <c r="C2" s="3" t="inlineStr">
        <is>
          <t>float</t>
        </is>
      </c>
      <c r="D2" s="3" t="inlineStr">
        <is>
          <t>string</t>
        </is>
      </c>
      <c r="E2" s="3" t="inlineStr">
        <is>
          <t>int</t>
        </is>
      </c>
      <c r="F2" s="3" t="inlineStr">
        <is>
          <t>int</t>
        </is>
      </c>
      <c r="G2" s="3" t="inlineStr">
        <is>
          <t>float</t>
        </is>
      </c>
      <c r="H2" s="3" t="inlineStr">
        <is>
          <t>float</t>
        </is>
      </c>
      <c r="I2" s="3" t="inlineStr">
        <is>
          <t>float</t>
        </is>
      </c>
      <c r="J2" s="3" t="inlineStr">
        <is>
          <t>float</t>
        </is>
      </c>
      <c r="K2" s="3" t="inlineStr">
        <is>
          <t>float</t>
        </is>
      </c>
      <c r="L2" s="3" t="inlineStr">
        <is>
          <t>float</t>
        </is>
      </c>
      <c r="M2" s="3" t="inlineStr">
        <is>
          <t>float</t>
        </is>
      </c>
    </row>
    <row r="3">
      <c r="A3" s="3" t="inlineStr">
        <is>
          <t>##</t>
        </is>
      </c>
      <c r="B3" s="3" t="inlineStr">
        <is>
          <t>角色等级和波次</t>
        </is>
      </c>
      <c r="C3" s="3" t="inlineStr">
        <is>
          <t>时间点_30s</t>
        </is>
      </c>
      <c r="D3" s="3" t="inlineStr">
        <is>
          <t>阵容</t>
        </is>
      </c>
      <c r="E3" s="3" t="inlineStr">
        <is>
          <t>选技能次数</t>
        </is>
      </c>
      <c r="F3" s="3" t="inlineStr">
        <is>
          <t>总次数</t>
        </is>
      </c>
      <c r="G3" s="3" t="inlineStr">
        <is>
          <t>消除倍率</t>
        </is>
      </c>
      <c r="H3" s="3" t="inlineStr">
        <is>
          <t>每块小兵增加期望值</t>
        </is>
      </c>
      <c r="I3" s="3" t="inlineStr">
        <is>
          <t>初始战力</t>
        </is>
      </c>
      <c r="J3" s="3" t="inlineStr">
        <is>
          <t>当前阵容战力</t>
        </is>
      </c>
      <c r="K3" s="3" t="inlineStr">
        <is>
          <t>战力产出效率</t>
        </is>
      </c>
      <c r="L3" s="3" t="inlineStr">
        <is>
          <t>每波怪物总战力</t>
        </is>
      </c>
      <c r="M3" s="3" t="inlineStr">
        <is>
          <t>平均相当于多少个上阵角色</t>
        </is>
      </c>
    </row>
    <row r="4">
      <c r="B4" s="4" t="n">
        <v>1101</v>
      </c>
      <c r="C4" s="4" t="n">
        <v>30</v>
      </c>
      <c r="D4" s="4" t="inlineStr">
        <is>
          <t>['弓箭手', '士兵', '弓']</t>
        </is>
      </c>
      <c r="E4" s="4" t="n">
        <v>1</v>
      </c>
      <c r="F4" s="4">
        <f>SUM($E$4:$E4)</f>
        <v/>
      </c>
      <c r="G4" s="4" t="n">
        <v>1</v>
      </c>
      <c r="H4" s="4" t="n">
        <v>0</v>
      </c>
      <c r="I4" s="4" t="n">
        <v>42918.3</v>
      </c>
      <c r="J4" s="4" t="n">
        <v>45426.2</v>
      </c>
      <c r="K4" s="4" t="n">
        <v>6448.1</v>
      </c>
      <c r="L4" s="4">
        <f>$K$4*30</f>
        <v/>
      </c>
      <c r="M4" s="4">
        <f>ROUND($L$4/($J$4/3),0)</f>
        <v/>
      </c>
    </row>
    <row r="5">
      <c r="B5" s="4" t="n">
        <v>1102</v>
      </c>
      <c r="C5" s="4" t="n">
        <v>60</v>
      </c>
      <c r="D5" s="4" t="inlineStr">
        <is>
          <t>['弓箭手', '士兵', '弓']</t>
        </is>
      </c>
      <c r="E5" s="4" t="n">
        <v>2</v>
      </c>
      <c r="F5" s="4">
        <f>SUM($E$4:$E5)</f>
        <v/>
      </c>
      <c r="G5" s="4" t="n">
        <v>1.1</v>
      </c>
      <c r="H5" s="4" t="n">
        <v>0.1</v>
      </c>
      <c r="I5" s="4" t="n">
        <v>42918.3</v>
      </c>
      <c r="J5" s="4" t="n">
        <v>50568.8</v>
      </c>
      <c r="K5" s="4" t="n">
        <v>8104</v>
      </c>
      <c r="L5" s="4">
        <f>$K$5*30</f>
        <v/>
      </c>
      <c r="M5" s="4">
        <f>ROUND($L$5/($J$5/3),0)</f>
        <v/>
      </c>
    </row>
    <row r="6">
      <c r="B6" s="4" t="n">
        <v>1103</v>
      </c>
      <c r="C6" s="4" t="n">
        <v>90</v>
      </c>
      <c r="D6" s="4" t="inlineStr">
        <is>
          <t>['弓箭手', '士兵', '弓']</t>
        </is>
      </c>
      <c r="E6" s="4" t="n">
        <v>1</v>
      </c>
      <c r="F6" s="4">
        <f>SUM($E$4:$E6)</f>
        <v/>
      </c>
      <c r="G6" s="4" t="n">
        <v>1.1</v>
      </c>
      <c r="H6" s="4" t="n">
        <v>0.2</v>
      </c>
      <c r="I6" s="4" t="n">
        <v>42918.3</v>
      </c>
      <c r="J6" s="4" t="n">
        <v>53203.5</v>
      </c>
      <c r="K6" s="4" t="n">
        <v>9043.5</v>
      </c>
      <c r="L6" s="4">
        <f>$K$6*30</f>
        <v/>
      </c>
      <c r="M6" s="4">
        <f>ROUND($L$6/($J$6/3),0)</f>
        <v/>
      </c>
    </row>
    <row r="7">
      <c r="B7" s="4" t="n">
        <v>1104</v>
      </c>
      <c r="C7" s="4" t="n">
        <v>120</v>
      </c>
      <c r="D7" s="4" t="inlineStr">
        <is>
          <t>['弓箭手', '士兵', '弓']</t>
        </is>
      </c>
      <c r="E7" s="4" t="n">
        <v>1</v>
      </c>
      <c r="F7" s="4">
        <f>SUM($E$4:$E7)</f>
        <v/>
      </c>
      <c r="G7" s="4" t="n">
        <v>1.1</v>
      </c>
      <c r="H7" s="4" t="n">
        <v>0.2</v>
      </c>
      <c r="I7" s="4" t="n">
        <v>42918.3</v>
      </c>
      <c r="J7" s="4" t="n">
        <v>55880.5</v>
      </c>
      <c r="K7" s="4" t="n">
        <v>10063.9</v>
      </c>
      <c r="L7" s="4">
        <f>$K$7*30</f>
        <v/>
      </c>
      <c r="M7" s="4">
        <f>ROUND($L$7/($J$7/3),0)</f>
        <v/>
      </c>
    </row>
    <row r="8">
      <c r="B8" s="4" t="n">
        <v>1105</v>
      </c>
      <c r="C8" s="4" t="n">
        <v>150</v>
      </c>
      <c r="D8" s="4" t="inlineStr">
        <is>
          <t>['弓箭手', '士兵', '弓']</t>
        </is>
      </c>
      <c r="E8" s="4" t="n">
        <v>1</v>
      </c>
      <c r="F8" s="4">
        <f>SUM($E$4:$E8)</f>
        <v/>
      </c>
      <c r="G8" s="4" t="n">
        <v>1.2</v>
      </c>
      <c r="H8" s="4" t="n">
        <v>0.2</v>
      </c>
      <c r="I8" s="4" t="n">
        <v>42918.3</v>
      </c>
      <c r="J8" s="4" t="n">
        <v>58599.7</v>
      </c>
      <c r="K8" s="4" t="n">
        <v>11170.5</v>
      </c>
      <c r="L8" s="4">
        <f>$K$8*30</f>
        <v/>
      </c>
      <c r="M8" s="4">
        <f>ROUND($L$8/($J$8/3),0)</f>
        <v/>
      </c>
    </row>
    <row r="9">
      <c r="B9" s="4" t="n">
        <v>1106</v>
      </c>
      <c r="C9" s="4" t="n">
        <v>180</v>
      </c>
      <c r="D9" s="4" t="inlineStr">
        <is>
          <t>['弓箭手', '士兵', '弓']</t>
        </is>
      </c>
      <c r="E9" s="4" t="n">
        <v>1</v>
      </c>
      <c r="F9" s="4">
        <f>SUM($E$4:$E9)</f>
        <v/>
      </c>
      <c r="G9" s="4" t="n">
        <v>1.2</v>
      </c>
      <c r="H9" s="4" t="n">
        <v>0.3</v>
      </c>
      <c r="I9" s="4" t="n">
        <v>42918.3</v>
      </c>
      <c r="J9" s="4" t="n">
        <v>61361.2</v>
      </c>
      <c r="K9" s="4" t="n">
        <v>12368.9</v>
      </c>
      <c r="L9" s="4">
        <f>$K$9*30</f>
        <v/>
      </c>
      <c r="M9" s="4">
        <f>ROUND($L$9/($J$9/3),0)</f>
        <v/>
      </c>
    </row>
    <row r="10">
      <c r="B10" s="4" t="n">
        <v>1107</v>
      </c>
      <c r="C10" s="4" t="n">
        <v>210</v>
      </c>
      <c r="D10" s="4" t="inlineStr">
        <is>
          <t>['弓箭手', '士兵', '弓']</t>
        </is>
      </c>
      <c r="E10" s="4" t="n">
        <v>2</v>
      </c>
      <c r="F10" s="4">
        <f>SUM($E$4:$E10)</f>
        <v/>
      </c>
      <c r="G10" s="4" t="n">
        <v>1.3</v>
      </c>
      <c r="H10" s="4" t="n">
        <v>0.3</v>
      </c>
      <c r="I10" s="4" t="n">
        <v>42918.3</v>
      </c>
      <c r="J10" s="4" t="n">
        <v>67010.89999999999</v>
      </c>
      <c r="K10" s="4" t="n">
        <v>15064.7</v>
      </c>
      <c r="L10" s="4">
        <f>$K$10*30</f>
        <v/>
      </c>
      <c r="M10" s="4">
        <f>ROUND($L$10/($J$10/3),0)</f>
        <v/>
      </c>
    </row>
    <row r="11">
      <c r="B11" s="4" t="n">
        <v>1108</v>
      </c>
      <c r="C11" s="4" t="n">
        <v>240</v>
      </c>
      <c r="D11" s="4" t="inlineStr">
        <is>
          <t>['弓箭手', '士兵', '弓']</t>
        </is>
      </c>
      <c r="E11" s="4" t="n">
        <v>1</v>
      </c>
      <c r="F11" s="4">
        <f>SUM($E$4:$E11)</f>
        <v/>
      </c>
      <c r="G11" s="4" t="n">
        <v>1.3</v>
      </c>
      <c r="H11" s="4" t="n">
        <v>0.4</v>
      </c>
      <c r="I11" s="4" t="n">
        <v>42918.3</v>
      </c>
      <c r="J11" s="4" t="n">
        <v>69899.2</v>
      </c>
      <c r="K11" s="4" t="n">
        <v>16574.8</v>
      </c>
      <c r="L11" s="4">
        <f>$K$11*30</f>
        <v/>
      </c>
      <c r="M11" s="4">
        <f>ROUND($L$11/($J$11/3),0)</f>
        <v/>
      </c>
    </row>
    <row r="12">
      <c r="B12" s="4" t="n">
        <v>1109</v>
      </c>
      <c r="C12" s="4" t="n">
        <v>270</v>
      </c>
      <c r="D12" s="4" t="inlineStr">
        <is>
          <t>['弓箭手', '士兵', '弓']</t>
        </is>
      </c>
      <c r="E12" s="4" t="n">
        <v>1</v>
      </c>
      <c r="F12" s="4">
        <f>SUM($E$4:$E12)</f>
        <v/>
      </c>
      <c r="G12" s="4" t="n">
        <v>1.3</v>
      </c>
      <c r="H12" s="4" t="n">
        <v>0.4</v>
      </c>
      <c r="I12" s="4" t="n">
        <v>42918.3</v>
      </c>
      <c r="J12" s="4" t="n">
        <v>72829.8</v>
      </c>
      <c r="K12" s="4" t="n">
        <v>18202.1</v>
      </c>
      <c r="L12" s="4">
        <f>$K$12*30</f>
        <v/>
      </c>
      <c r="M12" s="4">
        <f>ROUND($L$12/($J$12/3),0)</f>
        <v/>
      </c>
    </row>
    <row r="13">
      <c r="B13" s="4" t="n">
        <v>1110</v>
      </c>
      <c r="C13" s="4" t="n">
        <v>300</v>
      </c>
      <c r="D13" s="4" t="inlineStr">
        <is>
          <t>['弓箭手', '士兵', '弓']</t>
        </is>
      </c>
      <c r="E13" s="4" t="n">
        <v>1</v>
      </c>
      <c r="F13" s="4">
        <f>SUM($E$4:$E13)</f>
        <v/>
      </c>
      <c r="G13" s="4" t="n">
        <v>1.4</v>
      </c>
      <c r="H13" s="4" t="n">
        <v>0.5</v>
      </c>
      <c r="I13" s="4" t="n">
        <v>42918.3</v>
      </c>
      <c r="J13" s="4" t="n">
        <v>75802.60000000001</v>
      </c>
      <c r="K13" s="4" t="n">
        <v>19953.6</v>
      </c>
      <c r="L13" s="4">
        <f>$K$13*30</f>
        <v/>
      </c>
      <c r="M13" s="4">
        <f>ROUND($L$13/($J$13/3),0)</f>
        <v/>
      </c>
    </row>
    <row r="14">
      <c r="B14" s="4" t="n">
        <v>1111</v>
      </c>
      <c r="C14" s="4" t="n">
        <v>330</v>
      </c>
      <c r="D14" s="4" t="inlineStr">
        <is>
          <t>['弓箭手', '士兵', '弓']</t>
        </is>
      </c>
      <c r="E14" s="4" t="n">
        <v>1</v>
      </c>
      <c r="F14" s="4">
        <f>SUM($E$4:$E14)</f>
        <v/>
      </c>
      <c r="G14" s="4" t="n">
        <v>1.4</v>
      </c>
      <c r="H14" s="4" t="n">
        <v>0.5</v>
      </c>
      <c r="I14" s="4" t="n">
        <v>42918.3</v>
      </c>
      <c r="J14" s="4" t="n">
        <v>78817.7</v>
      </c>
      <c r="K14" s="4" t="n">
        <v>21837.1</v>
      </c>
      <c r="L14" s="4">
        <f>$K$14*30</f>
        <v/>
      </c>
      <c r="M14" s="4">
        <f>ROUND($L$14/($J$14/3),0)</f>
        <v/>
      </c>
    </row>
    <row r="15">
      <c r="B15" s="4" t="n">
        <v>1112</v>
      </c>
      <c r="C15" s="4" t="n">
        <v>360</v>
      </c>
      <c r="D15" s="4" t="inlineStr">
        <is>
          <t>['弓箭手', '士兵', '弓']</t>
        </is>
      </c>
      <c r="E15" s="4" t="n">
        <v>1</v>
      </c>
      <c r="F15" s="4">
        <f>SUM($E$4:$E15)</f>
        <v/>
      </c>
      <c r="G15" s="4" t="n">
        <v>1.4</v>
      </c>
      <c r="H15" s="4" t="n">
        <v>0.5</v>
      </c>
      <c r="I15" s="4" t="n">
        <v>42918.3</v>
      </c>
      <c r="J15" s="4" t="n">
        <v>81875</v>
      </c>
      <c r="K15" s="4" t="n">
        <v>23860.3</v>
      </c>
      <c r="L15" s="4">
        <f>$K$15*30</f>
        <v/>
      </c>
      <c r="M15" s="4">
        <f>ROUND($L$15/($J$15/3),0)</f>
        <v/>
      </c>
    </row>
    <row r="16">
      <c r="B16" s="4" t="n">
        <v>1113</v>
      </c>
      <c r="C16" s="4" t="n">
        <v>390</v>
      </c>
      <c r="D16" s="4" t="inlineStr">
        <is>
          <t>['弓箭手', '士兵', '弓']</t>
        </is>
      </c>
      <c r="E16" s="4" t="n">
        <v>1</v>
      </c>
      <c r="F16" s="4">
        <f>SUM($E$4:$E16)</f>
        <v/>
      </c>
      <c r="G16" s="4" t="n">
        <v>1.5</v>
      </c>
      <c r="H16" s="4" t="n">
        <v>0.6</v>
      </c>
      <c r="I16" s="4" t="n">
        <v>42918.3</v>
      </c>
      <c r="J16" s="4" t="n">
        <v>84974.60000000001</v>
      </c>
      <c r="K16" s="4" t="n">
        <v>26031.8</v>
      </c>
      <c r="L16" s="4">
        <f>$K$16*30</f>
        <v/>
      </c>
      <c r="M16" s="4">
        <f>ROUND($L$16/($J$16/3),0)</f>
        <v/>
      </c>
    </row>
    <row r="17">
      <c r="B17" s="4" t="n">
        <v>1114</v>
      </c>
      <c r="C17" s="4" t="n">
        <v>420</v>
      </c>
      <c r="D17" s="4" t="inlineStr">
        <is>
          <t>['弓箭手', '士兵', '弓']</t>
        </is>
      </c>
      <c r="E17" s="4" t="n">
        <v>1</v>
      </c>
      <c r="F17" s="4">
        <f>SUM($E$4:$E17)</f>
        <v/>
      </c>
      <c r="G17" s="4" t="n">
        <v>1.5</v>
      </c>
      <c r="H17" s="4" t="n">
        <v>0.6</v>
      </c>
      <c r="I17" s="4" t="n">
        <v>42918.3</v>
      </c>
      <c r="J17" s="4" t="n">
        <v>88116.5</v>
      </c>
      <c r="K17" s="4" t="n">
        <v>28360.1</v>
      </c>
      <c r="L17" s="4">
        <f>$K$17*30</f>
        <v/>
      </c>
      <c r="M17" s="4">
        <f>ROUND($L$17/($J$17/3),0)</f>
        <v/>
      </c>
    </row>
    <row r="18">
      <c r="B18" s="4" t="n">
        <v>1115</v>
      </c>
      <c r="C18" s="4" t="n">
        <v>450</v>
      </c>
      <c r="D18" s="4" t="inlineStr">
        <is>
          <t>['弓箭手', '士兵', '弓']</t>
        </is>
      </c>
      <c r="E18" s="4" t="n">
        <v>1</v>
      </c>
      <c r="F18" s="4">
        <f>SUM($E$4:$E18)</f>
        <v/>
      </c>
      <c r="G18" s="4" t="n">
        <v>1.5</v>
      </c>
      <c r="H18" s="4" t="n">
        <v>0.6</v>
      </c>
      <c r="I18" s="4" t="n">
        <v>42918.3</v>
      </c>
      <c r="J18" s="4" t="n">
        <v>91300.60000000001</v>
      </c>
      <c r="K18" s="4" t="n">
        <v>30854.7</v>
      </c>
      <c r="L18" s="4">
        <f>$K$18*30</f>
        <v/>
      </c>
      <c r="M18" s="4">
        <f>ROUND($L$18/($J$18/3),0)</f>
        <v/>
      </c>
    </row>
    <row r="19">
      <c r="B19" s="4" t="n">
        <v>1116</v>
      </c>
      <c r="C19" s="4" t="n">
        <v>480</v>
      </c>
      <c r="D19" s="4" t="inlineStr">
        <is>
          <t>['弓箭手', '士兵', '弓']</t>
        </is>
      </c>
      <c r="E19" s="4" t="n">
        <v>1</v>
      </c>
      <c r="F19" s="4">
        <f>SUM($E$4:$E19)</f>
        <v/>
      </c>
      <c r="G19" s="4" t="n">
        <v>1.6</v>
      </c>
      <c r="H19" s="4" t="n">
        <v>0.7</v>
      </c>
      <c r="I19" s="4" t="n">
        <v>42918.3</v>
      </c>
      <c r="J19" s="4" t="n">
        <v>94527</v>
      </c>
      <c r="K19" s="4" t="n">
        <v>33525</v>
      </c>
      <c r="L19" s="4">
        <f>$K$19*30</f>
        <v/>
      </c>
      <c r="M19" s="4">
        <f>ROUND($L$19/($J$19/3),0)</f>
        <v/>
      </c>
    </row>
    <row r="20">
      <c r="B20" s="4" t="n">
        <v>1117</v>
      </c>
      <c r="C20" s="4" t="n">
        <v>510</v>
      </c>
      <c r="D20" s="4" t="inlineStr">
        <is>
          <t>['弓箭手', '士兵', '弓']</t>
        </is>
      </c>
      <c r="E20" s="4" t="n">
        <v>0</v>
      </c>
      <c r="F20" s="4">
        <f>SUM($E$4:$E20)</f>
        <v/>
      </c>
      <c r="G20" s="4" t="n">
        <v>1.6</v>
      </c>
      <c r="H20" s="4" t="n">
        <v>0.7</v>
      </c>
      <c r="I20" s="4" t="n">
        <v>42918.3</v>
      </c>
      <c r="J20" s="4" t="n">
        <v>94527</v>
      </c>
      <c r="K20" s="4" t="n">
        <v>33525</v>
      </c>
      <c r="L20" s="4">
        <f>$K$20*30</f>
        <v/>
      </c>
      <c r="M20" s="4">
        <f>ROUND($L$20/($J$20/3),0)</f>
        <v/>
      </c>
    </row>
    <row r="21">
      <c r="B21" s="4" t="n">
        <v>1118</v>
      </c>
      <c r="C21" s="4" t="n">
        <v>540</v>
      </c>
      <c r="D21" s="4" t="inlineStr">
        <is>
          <t>['弓箭手', '士兵', '弓']</t>
        </is>
      </c>
      <c r="E21" s="4" t="n">
        <v>1</v>
      </c>
      <c r="F21" s="4">
        <f>SUM($E$4:$E21)</f>
        <v/>
      </c>
      <c r="G21" s="4" t="n">
        <v>1.6</v>
      </c>
      <c r="H21" s="4" t="n">
        <v>0.7</v>
      </c>
      <c r="I21" s="4" t="n">
        <v>42918.3</v>
      </c>
      <c r="J21" s="4" t="n">
        <v>97795.7</v>
      </c>
      <c r="K21" s="4" t="n">
        <v>36381.4</v>
      </c>
      <c r="L21" s="4">
        <f>$K$21*30</f>
        <v/>
      </c>
      <c r="M21" s="4">
        <f>ROUND($L$21/($J$21/3),0)</f>
        <v/>
      </c>
    </row>
    <row r="22">
      <c r="B22" s="4" t="n">
        <v>1119</v>
      </c>
      <c r="C22" s="4" t="n">
        <v>570</v>
      </c>
      <c r="D22" s="4" t="inlineStr">
        <is>
          <t>['弓箭手', '士兵', '弓']</t>
        </is>
      </c>
      <c r="E22" s="4" t="n">
        <v>1</v>
      </c>
      <c r="F22" s="4">
        <f>SUM($E$4:$E22)</f>
        <v/>
      </c>
      <c r="G22" s="4" t="n">
        <v>1.7</v>
      </c>
      <c r="H22" s="4" t="n">
        <v>0.8</v>
      </c>
      <c r="I22" s="4" t="n">
        <v>42918.3</v>
      </c>
      <c r="J22" s="4" t="n">
        <v>101106.6</v>
      </c>
      <c r="K22" s="4" t="n">
        <v>39434.5</v>
      </c>
      <c r="L22" s="4">
        <f>$K$22*30</f>
        <v/>
      </c>
      <c r="M22" s="4">
        <f>ROUND($L$22/($J$22/3),0)</f>
        <v/>
      </c>
    </row>
    <row r="23">
      <c r="B23" s="4" t="n">
        <v>1120</v>
      </c>
      <c r="C23" s="4" t="n">
        <v>600</v>
      </c>
      <c r="D23" s="4" t="inlineStr">
        <is>
          <t>['弓箭手', '士兵', '弓']</t>
        </is>
      </c>
      <c r="E23" s="4" t="n">
        <v>1</v>
      </c>
      <c r="F23" s="4">
        <f>SUM($E$4:$E23)</f>
        <v/>
      </c>
      <c r="G23" s="4" t="n">
        <v>1.7</v>
      </c>
      <c r="H23" s="4" t="n">
        <v>0.8</v>
      </c>
      <c r="I23" s="4" t="n">
        <v>42918.3</v>
      </c>
      <c r="J23" s="4" t="n">
        <v>104459.8</v>
      </c>
      <c r="K23" s="4" t="n">
        <v>42695.5</v>
      </c>
      <c r="L23" s="4">
        <f>$K$23*30</f>
        <v/>
      </c>
      <c r="M23" s="4">
        <f>ROUND($L$23/($J$23/3),0)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19.8" customWidth="1" min="2" max="2"/>
    <col width="19.8" customWidth="1" min="3" max="3"/>
    <col width="8.800000000000001" customWidth="1" min="4" max="4"/>
    <col width="15.4" customWidth="1" min="5" max="5"/>
    <col width="11" customWidth="1" min="6" max="6"/>
    <col width="13.2" customWidth="1" min="7" max="7"/>
    <col width="24.2" customWidth="1" min="8" max="8"/>
    <col width="13.2" customWidth="1" min="9" max="9"/>
    <col width="17.6" customWidth="1" min="10" max="10"/>
    <col width="17.6" customWidth="1" min="11" max="11"/>
    <col width="19.8" customWidth="1" min="12" max="12"/>
    <col width="30.8" customWidth="1" min="13" max="13"/>
  </cols>
  <sheetData>
    <row r="1">
      <c r="A1" s="3" t="inlineStr">
        <is>
          <t>##var</t>
        </is>
      </c>
      <c r="B1" s="3" t="inlineStr">
        <is>
          <t>角色等级和波次</t>
        </is>
      </c>
      <c r="C1" s="3" t="inlineStr">
        <is>
          <t>时间点_30s</t>
        </is>
      </c>
      <c r="D1" s="3" t="inlineStr">
        <is>
          <t>阵容</t>
        </is>
      </c>
      <c r="E1" s="3" t="inlineStr">
        <is>
          <t>选技能次数</t>
        </is>
      </c>
      <c r="F1" s="3" t="inlineStr">
        <is>
          <t>总次数</t>
        </is>
      </c>
      <c r="G1" s="3" t="inlineStr">
        <is>
          <t>消除倍率</t>
        </is>
      </c>
      <c r="H1" s="3" t="inlineStr">
        <is>
          <t>每块小兵增加期望值</t>
        </is>
      </c>
      <c r="I1" s="3" t="inlineStr">
        <is>
          <t>初始战力</t>
        </is>
      </c>
      <c r="J1" s="3" t="inlineStr">
        <is>
          <t>当前阵容战力</t>
        </is>
      </c>
      <c r="K1" s="3" t="inlineStr">
        <is>
          <t>战力产出效率</t>
        </is>
      </c>
      <c r="L1" s="3" t="inlineStr">
        <is>
          <t>每波怪物总战力</t>
        </is>
      </c>
      <c r="M1" s="3" t="inlineStr">
        <is>
          <t>平均相当于多少个上阵角色</t>
        </is>
      </c>
    </row>
    <row r="2">
      <c r="A2" s="3" t="inlineStr">
        <is>
          <t>##type</t>
        </is>
      </c>
      <c r="B2" s="3" t="inlineStr">
        <is>
          <t>int</t>
        </is>
      </c>
      <c r="C2" s="3" t="inlineStr">
        <is>
          <t>float</t>
        </is>
      </c>
      <c r="D2" s="3" t="inlineStr">
        <is>
          <t>string</t>
        </is>
      </c>
      <c r="E2" s="3" t="inlineStr">
        <is>
          <t>int</t>
        </is>
      </c>
      <c r="F2" s="3" t="inlineStr">
        <is>
          <t>int</t>
        </is>
      </c>
      <c r="G2" s="3" t="inlineStr">
        <is>
          <t>float</t>
        </is>
      </c>
      <c r="H2" s="3" t="inlineStr">
        <is>
          <t>float</t>
        </is>
      </c>
      <c r="I2" s="3" t="inlineStr">
        <is>
          <t>float</t>
        </is>
      </c>
      <c r="J2" s="3" t="inlineStr">
        <is>
          <t>float</t>
        </is>
      </c>
      <c r="K2" s="3" t="inlineStr">
        <is>
          <t>float</t>
        </is>
      </c>
      <c r="L2" s="3" t="inlineStr">
        <is>
          <t>float</t>
        </is>
      </c>
      <c r="M2" s="3" t="inlineStr">
        <is>
          <t>float</t>
        </is>
      </c>
    </row>
    <row r="3">
      <c r="A3" s="3" t="inlineStr">
        <is>
          <t>##</t>
        </is>
      </c>
      <c r="B3" s="3" t="inlineStr">
        <is>
          <t>角色等级和波次</t>
        </is>
      </c>
      <c r="C3" s="3" t="inlineStr">
        <is>
          <t>时间点_30s</t>
        </is>
      </c>
      <c r="D3" s="3" t="inlineStr">
        <is>
          <t>阵容</t>
        </is>
      </c>
      <c r="E3" s="3" t="inlineStr">
        <is>
          <t>选技能次数</t>
        </is>
      </c>
      <c r="F3" s="3" t="inlineStr">
        <is>
          <t>总次数</t>
        </is>
      </c>
      <c r="G3" s="3" t="inlineStr">
        <is>
          <t>消除倍率</t>
        </is>
      </c>
      <c r="H3" s="3" t="inlineStr">
        <is>
          <t>每块小兵增加期望值</t>
        </is>
      </c>
      <c r="I3" s="3" t="inlineStr">
        <is>
          <t>初始战力</t>
        </is>
      </c>
      <c r="J3" s="3" t="inlineStr">
        <is>
          <t>当前阵容战力</t>
        </is>
      </c>
      <c r="K3" s="3" t="inlineStr">
        <is>
          <t>战力产出效率</t>
        </is>
      </c>
      <c r="L3" s="3" t="inlineStr">
        <is>
          <t>每波怪物总战力</t>
        </is>
      </c>
      <c r="M3" s="3" t="inlineStr">
        <is>
          <t>平均相当于多少个上阵角色</t>
        </is>
      </c>
    </row>
    <row r="4">
      <c r="B4" s="4" t="n">
        <v>1001</v>
      </c>
      <c r="C4" s="4" t="n">
        <v>30</v>
      </c>
      <c r="D4" s="4" t="inlineStr">
        <is>
          <t>['弓箭手', '士兵', '弓']</t>
        </is>
      </c>
      <c r="E4" s="4" t="n">
        <v>1</v>
      </c>
      <c r="F4" s="4">
        <f>SUM($E$4:$E4)</f>
        <v/>
      </c>
      <c r="G4" s="4" t="n">
        <v>1</v>
      </c>
      <c r="H4" s="4" t="n">
        <v>0</v>
      </c>
      <c r="I4" s="4" t="n">
        <v>34334.6</v>
      </c>
      <c r="J4" s="4" t="n">
        <v>36341</v>
      </c>
      <c r="K4" s="4" t="n">
        <v>5158.5</v>
      </c>
      <c r="L4" s="4">
        <f>$K$4*30</f>
        <v/>
      </c>
      <c r="M4" s="4">
        <f>ROUND($L$4/($J$4/3),0)</f>
        <v/>
      </c>
    </row>
    <row r="5">
      <c r="B5" s="4" t="n">
        <v>1002</v>
      </c>
      <c r="C5" s="4" t="n">
        <v>60</v>
      </c>
      <c r="D5" s="4" t="inlineStr">
        <is>
          <t>['弓箭手', '士兵', '弓']</t>
        </is>
      </c>
      <c r="E5" s="4" t="n">
        <v>2</v>
      </c>
      <c r="F5" s="4">
        <f>SUM($E$4:$E5)</f>
        <v/>
      </c>
      <c r="G5" s="4" t="n">
        <v>1.1</v>
      </c>
      <c r="H5" s="4" t="n">
        <v>0.1</v>
      </c>
      <c r="I5" s="4" t="n">
        <v>34334.6</v>
      </c>
      <c r="J5" s="4" t="n">
        <v>40455</v>
      </c>
      <c r="K5" s="4" t="n">
        <v>6483.2</v>
      </c>
      <c r="L5" s="4">
        <f>$K$5*30</f>
        <v/>
      </c>
      <c r="M5" s="4">
        <f>ROUND($L$5/($J$5/3),0)</f>
        <v/>
      </c>
    </row>
    <row r="6">
      <c r="B6" s="4" t="n">
        <v>1003</v>
      </c>
      <c r="C6" s="4" t="n">
        <v>90</v>
      </c>
      <c r="D6" s="4" t="inlineStr">
        <is>
          <t>['弓箭手', '士兵', '弓']</t>
        </is>
      </c>
      <c r="E6" s="4" t="n">
        <v>1</v>
      </c>
      <c r="F6" s="4">
        <f>SUM($E$4:$E6)</f>
        <v/>
      </c>
      <c r="G6" s="4" t="n">
        <v>1.1</v>
      </c>
      <c r="H6" s="4" t="n">
        <v>0.2</v>
      </c>
      <c r="I6" s="4" t="n">
        <v>34334.6</v>
      </c>
      <c r="J6" s="4" t="n">
        <v>42562.8</v>
      </c>
      <c r="K6" s="4" t="n">
        <v>7234.8</v>
      </c>
      <c r="L6" s="4">
        <f>$K$6*30</f>
        <v/>
      </c>
      <c r="M6" s="4">
        <f>ROUND($L$6/($J$6/3),0)</f>
        <v/>
      </c>
    </row>
    <row r="7">
      <c r="B7" s="4" t="n">
        <v>1004</v>
      </c>
      <c r="C7" s="4" t="n">
        <v>120</v>
      </c>
      <c r="D7" s="4" t="inlineStr">
        <is>
          <t>['弓箭手', '士兵', '弓']</t>
        </is>
      </c>
      <c r="E7" s="4" t="n">
        <v>1</v>
      </c>
      <c r="F7" s="4">
        <f>SUM($E$4:$E7)</f>
        <v/>
      </c>
      <c r="G7" s="4" t="n">
        <v>1.1</v>
      </c>
      <c r="H7" s="4" t="n">
        <v>0.2</v>
      </c>
      <c r="I7" s="4" t="n">
        <v>34334.6</v>
      </c>
      <c r="J7" s="4" t="n">
        <v>44704.4</v>
      </c>
      <c r="K7" s="4" t="n">
        <v>8051.1</v>
      </c>
      <c r="L7" s="4">
        <f>$K$7*30</f>
        <v/>
      </c>
      <c r="M7" s="4">
        <f>ROUND($L$7/($J$7/3),0)</f>
        <v/>
      </c>
    </row>
    <row r="8">
      <c r="B8" s="4" t="n">
        <v>1005</v>
      </c>
      <c r="C8" s="4" t="n">
        <v>150</v>
      </c>
      <c r="D8" s="4" t="inlineStr">
        <is>
          <t>['弓箭手', '士兵', '弓']</t>
        </is>
      </c>
      <c r="E8" s="4" t="n">
        <v>1</v>
      </c>
      <c r="F8" s="4">
        <f>SUM($E$4:$E8)</f>
        <v/>
      </c>
      <c r="G8" s="4" t="n">
        <v>1.2</v>
      </c>
      <c r="H8" s="4" t="n">
        <v>0.2</v>
      </c>
      <c r="I8" s="4" t="n">
        <v>34334.6</v>
      </c>
      <c r="J8" s="4" t="n">
        <v>46879.7</v>
      </c>
      <c r="K8" s="4" t="n">
        <v>8936.4</v>
      </c>
      <c r="L8" s="4">
        <f>$K$8*30</f>
        <v/>
      </c>
      <c r="M8" s="4">
        <f>ROUND($L$8/($J$8/3),0)</f>
        <v/>
      </c>
    </row>
    <row r="9">
      <c r="B9" s="4" t="n">
        <v>1006</v>
      </c>
      <c r="C9" s="4" t="n">
        <v>180</v>
      </c>
      <c r="D9" s="4" t="inlineStr">
        <is>
          <t>['弓箭手', '士兵', '弓']</t>
        </is>
      </c>
      <c r="E9" s="4" t="n">
        <v>1</v>
      </c>
      <c r="F9" s="4">
        <f>SUM($E$4:$E9)</f>
        <v/>
      </c>
      <c r="G9" s="4" t="n">
        <v>1.2</v>
      </c>
      <c r="H9" s="4" t="n">
        <v>0.3</v>
      </c>
      <c r="I9" s="4" t="n">
        <v>34334.6</v>
      </c>
      <c r="J9" s="4" t="n">
        <v>49088.9</v>
      </c>
      <c r="K9" s="4" t="n">
        <v>9895.1</v>
      </c>
      <c r="L9" s="4">
        <f>$K$9*30</f>
        <v/>
      </c>
      <c r="M9" s="4">
        <f>ROUND($L$9/($J$9/3),0)</f>
        <v/>
      </c>
    </row>
    <row r="10">
      <c r="B10" s="4" t="n">
        <v>1007</v>
      </c>
      <c r="C10" s="4" t="n">
        <v>210</v>
      </c>
      <c r="D10" s="4" t="inlineStr">
        <is>
          <t>['弓箭手', '士兵', '弓']</t>
        </is>
      </c>
      <c r="E10" s="4" t="n">
        <v>2</v>
      </c>
      <c r="F10" s="4">
        <f>SUM($E$4:$E10)</f>
        <v/>
      </c>
      <c r="G10" s="4" t="n">
        <v>1.3</v>
      </c>
      <c r="H10" s="4" t="n">
        <v>0.3</v>
      </c>
      <c r="I10" s="4" t="n">
        <v>34334.6</v>
      </c>
      <c r="J10" s="4" t="n">
        <v>53608.8</v>
      </c>
      <c r="K10" s="4" t="n">
        <v>12051.8</v>
      </c>
      <c r="L10" s="4">
        <f>$K$10*30</f>
        <v/>
      </c>
      <c r="M10" s="4">
        <f>ROUND($L$10/($J$10/3),0)</f>
        <v/>
      </c>
    </row>
    <row r="11">
      <c r="B11" s="4" t="n">
        <v>1008</v>
      </c>
      <c r="C11" s="4" t="n">
        <v>240</v>
      </c>
      <c r="D11" s="4" t="inlineStr">
        <is>
          <t>['弓箭手', '士兵', '弓']</t>
        </is>
      </c>
      <c r="E11" s="4" t="n">
        <v>1</v>
      </c>
      <c r="F11" s="4">
        <f>SUM($E$4:$E11)</f>
        <v/>
      </c>
      <c r="G11" s="4" t="n">
        <v>1.3</v>
      </c>
      <c r="H11" s="4" t="n">
        <v>0.4</v>
      </c>
      <c r="I11" s="4" t="n">
        <v>34334.6</v>
      </c>
      <c r="J11" s="4" t="n">
        <v>55919.4</v>
      </c>
      <c r="K11" s="4" t="n">
        <v>13259.9</v>
      </c>
      <c r="L11" s="4">
        <f>$K$11*30</f>
        <v/>
      </c>
      <c r="M11" s="4">
        <f>ROUND($L$11/($J$11/3),0)</f>
        <v/>
      </c>
    </row>
    <row r="12">
      <c r="B12" s="4" t="n">
        <v>1009</v>
      </c>
      <c r="C12" s="4" t="n">
        <v>270</v>
      </c>
      <c r="D12" s="4" t="inlineStr">
        <is>
          <t>['弓箭手', '士兵', '弓']</t>
        </is>
      </c>
      <c r="E12" s="4" t="n">
        <v>1</v>
      </c>
      <c r="F12" s="4">
        <f>SUM($E$4:$E12)</f>
        <v/>
      </c>
      <c r="G12" s="4" t="n">
        <v>1.3</v>
      </c>
      <c r="H12" s="4" t="n">
        <v>0.4</v>
      </c>
      <c r="I12" s="4" t="n">
        <v>34334.6</v>
      </c>
      <c r="J12" s="4" t="n">
        <v>58263.8</v>
      </c>
      <c r="K12" s="4" t="n">
        <v>14561.7</v>
      </c>
      <c r="L12" s="4">
        <f>$K$12*30</f>
        <v/>
      </c>
      <c r="M12" s="4">
        <f>ROUND($L$12/($J$12/3),0)</f>
        <v/>
      </c>
    </row>
    <row r="13">
      <c r="B13" s="4" t="n">
        <v>1010</v>
      </c>
      <c r="C13" s="4" t="n">
        <v>300</v>
      </c>
      <c r="D13" s="4" t="inlineStr">
        <is>
          <t>['弓箭手', '士兵', '弓']</t>
        </is>
      </c>
      <c r="E13" s="4" t="n">
        <v>1</v>
      </c>
      <c r="F13" s="4">
        <f>SUM($E$4:$E13)</f>
        <v/>
      </c>
      <c r="G13" s="4" t="n">
        <v>1.4</v>
      </c>
      <c r="H13" s="4" t="n">
        <v>0.5</v>
      </c>
      <c r="I13" s="4" t="n">
        <v>34334.6</v>
      </c>
      <c r="J13" s="4" t="n">
        <v>60642.1</v>
      </c>
      <c r="K13" s="4" t="n">
        <v>15962.9</v>
      </c>
      <c r="L13" s="4">
        <f>$K$13*30</f>
        <v/>
      </c>
      <c r="M13" s="4">
        <f>ROUND($L$13/($J$13/3),0)</f>
        <v/>
      </c>
    </row>
    <row r="14">
      <c r="B14" s="4" t="n">
        <v>1011</v>
      </c>
      <c r="C14" s="4" t="n">
        <v>330</v>
      </c>
      <c r="D14" s="4" t="inlineStr">
        <is>
          <t>['弓箭手', '士兵', '弓']</t>
        </is>
      </c>
      <c r="E14" s="4" t="n">
        <v>1</v>
      </c>
      <c r="F14" s="4">
        <f>SUM($E$4:$E14)</f>
        <v/>
      </c>
      <c r="G14" s="4" t="n">
        <v>1.4</v>
      </c>
      <c r="H14" s="4" t="n">
        <v>0.5</v>
      </c>
      <c r="I14" s="4" t="n">
        <v>34334.6</v>
      </c>
      <c r="J14" s="4" t="n">
        <v>63054.1</v>
      </c>
      <c r="K14" s="4" t="n">
        <v>17469.7</v>
      </c>
      <c r="L14" s="4">
        <f>$K$14*30</f>
        <v/>
      </c>
      <c r="M14" s="4">
        <f>ROUND($L$14/($J$14/3),0)</f>
        <v/>
      </c>
    </row>
    <row r="15">
      <c r="B15" s="4" t="n">
        <v>1012</v>
      </c>
      <c r="C15" s="4" t="n">
        <v>360</v>
      </c>
      <c r="D15" s="4" t="inlineStr">
        <is>
          <t>['弓箭手', '士兵', '弓']</t>
        </is>
      </c>
      <c r="E15" s="4" t="n">
        <v>1</v>
      </c>
      <c r="F15" s="4">
        <f>SUM($E$4:$E15)</f>
        <v/>
      </c>
      <c r="G15" s="4" t="n">
        <v>1.4</v>
      </c>
      <c r="H15" s="4" t="n">
        <v>0.5</v>
      </c>
      <c r="I15" s="4" t="n">
        <v>34334.6</v>
      </c>
      <c r="J15" s="4" t="n">
        <v>65500</v>
      </c>
      <c r="K15" s="4" t="n">
        <v>19088.3</v>
      </c>
      <c r="L15" s="4">
        <f>$K$15*30</f>
        <v/>
      </c>
      <c r="M15" s="4">
        <f>ROUND($L$15/($J$15/3),0)</f>
        <v/>
      </c>
    </row>
    <row r="16">
      <c r="B16" s="4" t="n">
        <v>1013</v>
      </c>
      <c r="C16" s="4" t="n">
        <v>390</v>
      </c>
      <c r="D16" s="4" t="inlineStr">
        <is>
          <t>['弓箭手', '士兵', '弓']</t>
        </is>
      </c>
      <c r="E16" s="4" t="n">
        <v>1</v>
      </c>
      <c r="F16" s="4">
        <f>SUM($E$4:$E16)</f>
        <v/>
      </c>
      <c r="G16" s="4" t="n">
        <v>1.5</v>
      </c>
      <c r="H16" s="4" t="n">
        <v>0.6</v>
      </c>
      <c r="I16" s="4" t="n">
        <v>34334.6</v>
      </c>
      <c r="J16" s="4" t="n">
        <v>67979.7</v>
      </c>
      <c r="K16" s="4" t="n">
        <v>20825.4</v>
      </c>
      <c r="L16" s="4">
        <f>$K$16*30</f>
        <v/>
      </c>
      <c r="M16" s="4">
        <f>ROUND($L$16/($J$16/3),0)</f>
        <v/>
      </c>
    </row>
    <row r="17">
      <c r="B17" s="4" t="n">
        <v>1014</v>
      </c>
      <c r="C17" s="4" t="n">
        <v>420</v>
      </c>
      <c r="D17" s="4" t="inlineStr">
        <is>
          <t>['弓箭手', '士兵', '弓']</t>
        </is>
      </c>
      <c r="E17" s="4" t="n">
        <v>1</v>
      </c>
      <c r="F17" s="4">
        <f>SUM($E$4:$E17)</f>
        <v/>
      </c>
      <c r="G17" s="4" t="n">
        <v>1.5</v>
      </c>
      <c r="H17" s="4" t="n">
        <v>0.6</v>
      </c>
      <c r="I17" s="4" t="n">
        <v>34334.6</v>
      </c>
      <c r="J17" s="4" t="n">
        <v>70493.2</v>
      </c>
      <c r="K17" s="4" t="n">
        <v>22688.1</v>
      </c>
      <c r="L17" s="4">
        <f>$K$17*30</f>
        <v/>
      </c>
      <c r="M17" s="4">
        <f>ROUND($L$17/($J$17/3),0)</f>
        <v/>
      </c>
    </row>
    <row r="18">
      <c r="B18" s="4" t="n">
        <v>1015</v>
      </c>
      <c r="C18" s="4" t="n">
        <v>450</v>
      </c>
      <c r="D18" s="4" t="inlineStr">
        <is>
          <t>['弓箭手', '士兵', '弓']</t>
        </is>
      </c>
      <c r="E18" s="4" t="n">
        <v>1</v>
      </c>
      <c r="F18" s="4">
        <f>SUM($E$4:$E18)</f>
        <v/>
      </c>
      <c r="G18" s="4" t="n">
        <v>1.5</v>
      </c>
      <c r="H18" s="4" t="n">
        <v>0.6</v>
      </c>
      <c r="I18" s="4" t="n">
        <v>34334.6</v>
      </c>
      <c r="J18" s="4" t="n">
        <v>73040.5</v>
      </c>
      <c r="K18" s="4" t="n">
        <v>24683.7</v>
      </c>
      <c r="L18" s="4">
        <f>$K$18*30</f>
        <v/>
      </c>
      <c r="M18" s="4">
        <f>ROUND($L$18/($J$18/3),0)</f>
        <v/>
      </c>
    </row>
    <row r="19">
      <c r="B19" s="4" t="n">
        <v>1016</v>
      </c>
      <c r="C19" s="4" t="n">
        <v>480</v>
      </c>
      <c r="D19" s="4" t="inlineStr">
        <is>
          <t>['弓箭手', '士兵', '弓']</t>
        </is>
      </c>
      <c r="E19" s="4" t="n">
        <v>1</v>
      </c>
      <c r="F19" s="4">
        <f>SUM($E$4:$E19)</f>
        <v/>
      </c>
      <c r="G19" s="4" t="n">
        <v>1.6</v>
      </c>
      <c r="H19" s="4" t="n">
        <v>0.7</v>
      </c>
      <c r="I19" s="4" t="n">
        <v>34334.6</v>
      </c>
      <c r="J19" s="4" t="n">
        <v>75621.60000000001</v>
      </c>
      <c r="K19" s="4" t="n">
        <v>26820</v>
      </c>
      <c r="L19" s="4">
        <f>$K$19*30</f>
        <v/>
      </c>
      <c r="M19" s="4">
        <f>ROUND($L$19/($J$19/3),0)</f>
        <v/>
      </c>
    </row>
    <row r="20">
      <c r="B20" s="4" t="n">
        <v>1017</v>
      </c>
      <c r="C20" s="4" t="n">
        <v>510</v>
      </c>
      <c r="D20" s="4" t="inlineStr">
        <is>
          <t>['弓箭手', '士兵', '弓']</t>
        </is>
      </c>
      <c r="E20" s="4" t="n">
        <v>0</v>
      </c>
      <c r="F20" s="4">
        <f>SUM($E$4:$E20)</f>
        <v/>
      </c>
      <c r="G20" s="4" t="n">
        <v>1.6</v>
      </c>
      <c r="H20" s="4" t="n">
        <v>0.7</v>
      </c>
      <c r="I20" s="4" t="n">
        <v>34334.6</v>
      </c>
      <c r="J20" s="4" t="n">
        <v>75621.60000000001</v>
      </c>
      <c r="K20" s="4" t="n">
        <v>26820</v>
      </c>
      <c r="L20" s="4">
        <f>$K$20*30</f>
        <v/>
      </c>
      <c r="M20" s="4">
        <f>ROUND($L$20/($J$20/3),0)</f>
        <v/>
      </c>
    </row>
    <row r="21">
      <c r="B21" s="4" t="n">
        <v>1018</v>
      </c>
      <c r="C21" s="4" t="n">
        <v>540</v>
      </c>
      <c r="D21" s="4" t="inlineStr">
        <is>
          <t>['弓箭手', '士兵', '弓']</t>
        </is>
      </c>
      <c r="E21" s="4" t="n">
        <v>1</v>
      </c>
      <c r="F21" s="4">
        <f>SUM($E$4:$E21)</f>
        <v/>
      </c>
      <c r="G21" s="4" t="n">
        <v>1.6</v>
      </c>
      <c r="H21" s="4" t="n">
        <v>0.7</v>
      </c>
      <c r="I21" s="4" t="n">
        <v>34334.6</v>
      </c>
      <c r="J21" s="4" t="n">
        <v>78236.5</v>
      </c>
      <c r="K21" s="4" t="n">
        <v>29105.1</v>
      </c>
      <c r="L21" s="4">
        <f>$K$21*30</f>
        <v/>
      </c>
      <c r="M21" s="4">
        <f>ROUND($L$21/($J$21/3),0)</f>
        <v/>
      </c>
    </row>
    <row r="22">
      <c r="B22" s="4" t="n">
        <v>1019</v>
      </c>
      <c r="C22" s="4" t="n">
        <v>570</v>
      </c>
      <c r="D22" s="4" t="inlineStr">
        <is>
          <t>['弓箭手', '士兵', '弓']</t>
        </is>
      </c>
      <c r="E22" s="4" t="n">
        <v>1</v>
      </c>
      <c r="F22" s="4">
        <f>SUM($E$4:$E22)</f>
        <v/>
      </c>
      <c r="G22" s="4" t="n">
        <v>1.7</v>
      </c>
      <c r="H22" s="4" t="n">
        <v>0.8</v>
      </c>
      <c r="I22" s="4" t="n">
        <v>34334.6</v>
      </c>
      <c r="J22" s="4" t="n">
        <v>80885.3</v>
      </c>
      <c r="K22" s="4" t="n">
        <v>31547.6</v>
      </c>
      <c r="L22" s="4">
        <f>$K$22*30</f>
        <v/>
      </c>
      <c r="M22" s="4">
        <f>ROUND($L$22/($J$22/3),0)</f>
        <v/>
      </c>
    </row>
    <row r="23">
      <c r="B23" s="4" t="n">
        <v>1020</v>
      </c>
      <c r="C23" s="4" t="n">
        <v>600</v>
      </c>
      <c r="D23" s="4" t="inlineStr">
        <is>
          <t>['弓箭手', '士兵', '弓']</t>
        </is>
      </c>
      <c r="E23" s="4" t="n">
        <v>1</v>
      </c>
      <c r="F23" s="4">
        <f>SUM($E$4:$E23)</f>
        <v/>
      </c>
      <c r="G23" s="4" t="n">
        <v>1.7</v>
      </c>
      <c r="H23" s="4" t="n">
        <v>0.8</v>
      </c>
      <c r="I23" s="4" t="n">
        <v>34334.6</v>
      </c>
      <c r="J23" s="4" t="n">
        <v>83567.8</v>
      </c>
      <c r="K23" s="4" t="n">
        <v>34156.4</v>
      </c>
      <c r="L23" s="4">
        <f>$K$23*30</f>
        <v/>
      </c>
      <c r="M23" s="4">
        <f>ROUND($L$23/($J$23/3),0)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19.8" customWidth="1" min="2" max="2"/>
    <col width="19.8" customWidth="1" min="3" max="3"/>
    <col width="8.800000000000001" customWidth="1" min="4" max="4"/>
    <col width="15.4" customWidth="1" min="5" max="5"/>
    <col width="11" customWidth="1" min="6" max="6"/>
    <col width="13.2" customWidth="1" min="7" max="7"/>
    <col width="24.2" customWidth="1" min="8" max="8"/>
    <col width="13.2" customWidth="1" min="9" max="9"/>
    <col width="17.6" customWidth="1" min="10" max="10"/>
    <col width="17.6" customWidth="1" min="11" max="11"/>
    <col width="19.8" customWidth="1" min="12" max="12"/>
    <col width="30.8" customWidth="1" min="13" max="13"/>
  </cols>
  <sheetData>
    <row r="1">
      <c r="A1" s="3" t="inlineStr">
        <is>
          <t>##var</t>
        </is>
      </c>
      <c r="B1" s="3" t="inlineStr">
        <is>
          <t>角色等级和波次</t>
        </is>
      </c>
      <c r="C1" s="3" t="inlineStr">
        <is>
          <t>时间点_30s</t>
        </is>
      </c>
      <c r="D1" s="3" t="inlineStr">
        <is>
          <t>阵容</t>
        </is>
      </c>
      <c r="E1" s="3" t="inlineStr">
        <is>
          <t>选技能次数</t>
        </is>
      </c>
      <c r="F1" s="3" t="inlineStr">
        <is>
          <t>总次数</t>
        </is>
      </c>
      <c r="G1" s="3" t="inlineStr">
        <is>
          <t>消除倍率</t>
        </is>
      </c>
      <c r="H1" s="3" t="inlineStr">
        <is>
          <t>每块小兵增加期望值</t>
        </is>
      </c>
      <c r="I1" s="3" t="inlineStr">
        <is>
          <t>初始战力</t>
        </is>
      </c>
      <c r="J1" s="3" t="inlineStr">
        <is>
          <t>当前阵容战力</t>
        </is>
      </c>
      <c r="K1" s="3" t="inlineStr">
        <is>
          <t>战力产出效率</t>
        </is>
      </c>
      <c r="L1" s="3" t="inlineStr">
        <is>
          <t>每波怪物总战力</t>
        </is>
      </c>
      <c r="M1" s="3" t="inlineStr">
        <is>
          <t>平均相当于多少个上阵角色</t>
        </is>
      </c>
    </row>
    <row r="2">
      <c r="A2" s="3" t="inlineStr">
        <is>
          <t>##type</t>
        </is>
      </c>
      <c r="B2" s="3" t="inlineStr">
        <is>
          <t>int</t>
        </is>
      </c>
      <c r="C2" s="3" t="inlineStr">
        <is>
          <t>float</t>
        </is>
      </c>
      <c r="D2" s="3" t="inlineStr">
        <is>
          <t>string</t>
        </is>
      </c>
      <c r="E2" s="3" t="inlineStr">
        <is>
          <t>int</t>
        </is>
      </c>
      <c r="F2" s="3" t="inlineStr">
        <is>
          <t>int</t>
        </is>
      </c>
      <c r="G2" s="3" t="inlineStr">
        <is>
          <t>float</t>
        </is>
      </c>
      <c r="H2" s="3" t="inlineStr">
        <is>
          <t>float</t>
        </is>
      </c>
      <c r="I2" s="3" t="inlineStr">
        <is>
          <t>float</t>
        </is>
      </c>
      <c r="J2" s="3" t="inlineStr">
        <is>
          <t>float</t>
        </is>
      </c>
      <c r="K2" s="3" t="inlineStr">
        <is>
          <t>float</t>
        </is>
      </c>
      <c r="L2" s="3" t="inlineStr">
        <is>
          <t>float</t>
        </is>
      </c>
      <c r="M2" s="3" t="inlineStr">
        <is>
          <t>float</t>
        </is>
      </c>
    </row>
    <row r="3">
      <c r="A3" s="3" t="inlineStr">
        <is>
          <t>##</t>
        </is>
      </c>
      <c r="B3" s="3" t="inlineStr">
        <is>
          <t>角色等级和波次</t>
        </is>
      </c>
      <c r="C3" s="3" t="inlineStr">
        <is>
          <t>时间点_30s</t>
        </is>
      </c>
      <c r="D3" s="3" t="inlineStr">
        <is>
          <t>阵容</t>
        </is>
      </c>
      <c r="E3" s="3" t="inlineStr">
        <is>
          <t>选技能次数</t>
        </is>
      </c>
      <c r="F3" s="3" t="inlineStr">
        <is>
          <t>总次数</t>
        </is>
      </c>
      <c r="G3" s="3" t="inlineStr">
        <is>
          <t>消除倍率</t>
        </is>
      </c>
      <c r="H3" s="3" t="inlineStr">
        <is>
          <t>每块小兵增加期望值</t>
        </is>
      </c>
      <c r="I3" s="3" t="inlineStr">
        <is>
          <t>初始战力</t>
        </is>
      </c>
      <c r="J3" s="3" t="inlineStr">
        <is>
          <t>当前阵容战力</t>
        </is>
      </c>
      <c r="K3" s="3" t="inlineStr">
        <is>
          <t>战力产出效率</t>
        </is>
      </c>
      <c r="L3" s="3" t="inlineStr">
        <is>
          <t>每波怪物总战力</t>
        </is>
      </c>
      <c r="M3" s="3" t="inlineStr">
        <is>
          <t>平均相当于多少个上阵角色</t>
        </is>
      </c>
    </row>
    <row r="4">
      <c r="B4" s="4" t="n">
        <v>901</v>
      </c>
      <c r="C4" s="4" t="n">
        <v>30</v>
      </c>
      <c r="D4" s="4" t="inlineStr">
        <is>
          <t>['弓箭手', '士兵', '弓']</t>
        </is>
      </c>
      <c r="E4" s="4" t="n">
        <v>1</v>
      </c>
      <c r="F4" s="4">
        <f>SUM($E$4:$E4)</f>
        <v/>
      </c>
      <c r="G4" s="4" t="n">
        <v>1</v>
      </c>
      <c r="H4" s="4" t="n">
        <v>0</v>
      </c>
      <c r="I4" s="4" t="n">
        <v>27467.7</v>
      </c>
      <c r="J4" s="4" t="n">
        <v>29072.8</v>
      </c>
      <c r="K4" s="4" t="n">
        <v>4126.8</v>
      </c>
      <c r="L4" s="4">
        <f>$K$4*30</f>
        <v/>
      </c>
      <c r="M4" s="4">
        <f>ROUND($L$4/($J$4/3),0)</f>
        <v/>
      </c>
    </row>
    <row r="5">
      <c r="B5" s="4" t="n">
        <v>902</v>
      </c>
      <c r="C5" s="4" t="n">
        <v>60</v>
      </c>
      <c r="D5" s="4" t="inlineStr">
        <is>
          <t>['弓箭手', '士兵', '弓']</t>
        </is>
      </c>
      <c r="E5" s="4" t="n">
        <v>2</v>
      </c>
      <c r="F5" s="4">
        <f>SUM($E$4:$E5)</f>
        <v/>
      </c>
      <c r="G5" s="4" t="n">
        <v>1.1</v>
      </c>
      <c r="H5" s="4" t="n">
        <v>0.1</v>
      </c>
      <c r="I5" s="4" t="n">
        <v>27467.7</v>
      </c>
      <c r="J5" s="4" t="n">
        <v>32364</v>
      </c>
      <c r="K5" s="4" t="n">
        <v>5186.6</v>
      </c>
      <c r="L5" s="4">
        <f>$K$5*30</f>
        <v/>
      </c>
      <c r="M5" s="4">
        <f>ROUND($L$5/($J$5/3),0)</f>
        <v/>
      </c>
    </row>
    <row r="6">
      <c r="B6" s="4" t="n">
        <v>903</v>
      </c>
      <c r="C6" s="4" t="n">
        <v>90</v>
      </c>
      <c r="D6" s="4" t="inlineStr">
        <is>
          <t>['弓箭手', '士兵', '弓']</t>
        </is>
      </c>
      <c r="E6" s="4" t="n">
        <v>1</v>
      </c>
      <c r="F6" s="4">
        <f>SUM($E$4:$E6)</f>
        <v/>
      </c>
      <c r="G6" s="4" t="n">
        <v>1.1</v>
      </c>
      <c r="H6" s="4" t="n">
        <v>0.2</v>
      </c>
      <c r="I6" s="4" t="n">
        <v>27467.7</v>
      </c>
      <c r="J6" s="4" t="n">
        <v>34050.2</v>
      </c>
      <c r="K6" s="4" t="n">
        <v>5787.8</v>
      </c>
      <c r="L6" s="4">
        <f>$K$6*30</f>
        <v/>
      </c>
      <c r="M6" s="4">
        <f>ROUND($L$6/($J$6/3),0)</f>
        <v/>
      </c>
    </row>
    <row r="7">
      <c r="B7" s="4" t="n">
        <v>904</v>
      </c>
      <c r="C7" s="4" t="n">
        <v>120</v>
      </c>
      <c r="D7" s="4" t="inlineStr">
        <is>
          <t>['弓箭手', '士兵', '弓']</t>
        </is>
      </c>
      <c r="E7" s="4" t="n">
        <v>1</v>
      </c>
      <c r="F7" s="4">
        <f>SUM($E$4:$E7)</f>
        <v/>
      </c>
      <c r="G7" s="4" t="n">
        <v>1.1</v>
      </c>
      <c r="H7" s="4" t="n">
        <v>0.2</v>
      </c>
      <c r="I7" s="4" t="n">
        <v>27467.7</v>
      </c>
      <c r="J7" s="4" t="n">
        <v>35763.5</v>
      </c>
      <c r="K7" s="4" t="n">
        <v>6440.9</v>
      </c>
      <c r="L7" s="4">
        <f>$K$7*30</f>
        <v/>
      </c>
      <c r="M7" s="4">
        <f>ROUND($L$7/($J$7/3),0)</f>
        <v/>
      </c>
    </row>
    <row r="8">
      <c r="B8" s="4" t="n">
        <v>905</v>
      </c>
      <c r="C8" s="4" t="n">
        <v>150</v>
      </c>
      <c r="D8" s="4" t="inlineStr">
        <is>
          <t>['弓箭手', '士兵', '弓']</t>
        </is>
      </c>
      <c r="E8" s="4" t="n">
        <v>1</v>
      </c>
      <c r="F8" s="4">
        <f>SUM($E$4:$E8)</f>
        <v/>
      </c>
      <c r="G8" s="4" t="n">
        <v>1.2</v>
      </c>
      <c r="H8" s="4" t="n">
        <v>0.2</v>
      </c>
      <c r="I8" s="4" t="n">
        <v>27467.7</v>
      </c>
      <c r="J8" s="4" t="n">
        <v>37503.8</v>
      </c>
      <c r="K8" s="4" t="n">
        <v>7149.1</v>
      </c>
      <c r="L8" s="4">
        <f>$K$8*30</f>
        <v/>
      </c>
      <c r="M8" s="4">
        <f>ROUND($L$8/($J$8/3),0)</f>
        <v/>
      </c>
    </row>
    <row r="9">
      <c r="B9" s="4" t="n">
        <v>906</v>
      </c>
      <c r="C9" s="4" t="n">
        <v>180</v>
      </c>
      <c r="D9" s="4" t="inlineStr">
        <is>
          <t>['弓箭手', '士兵', '弓']</t>
        </is>
      </c>
      <c r="E9" s="4" t="n">
        <v>1</v>
      </c>
      <c r="F9" s="4">
        <f>SUM($E$4:$E9)</f>
        <v/>
      </c>
      <c r="G9" s="4" t="n">
        <v>1.2</v>
      </c>
      <c r="H9" s="4" t="n">
        <v>0.3</v>
      </c>
      <c r="I9" s="4" t="n">
        <v>27467.7</v>
      </c>
      <c r="J9" s="4" t="n">
        <v>39271.1</v>
      </c>
      <c r="K9" s="4" t="n">
        <v>7916.1</v>
      </c>
      <c r="L9" s="4">
        <f>$K$9*30</f>
        <v/>
      </c>
      <c r="M9" s="4">
        <f>ROUND($L$9/($J$9/3),0)</f>
        <v/>
      </c>
    </row>
    <row r="10">
      <c r="B10" s="4" t="n">
        <v>907</v>
      </c>
      <c r="C10" s="4" t="n">
        <v>210</v>
      </c>
      <c r="D10" s="4" t="inlineStr">
        <is>
          <t>['弓箭手', '士兵', '弓']</t>
        </is>
      </c>
      <c r="E10" s="4" t="n">
        <v>2</v>
      </c>
      <c r="F10" s="4">
        <f>SUM($E$4:$E10)</f>
        <v/>
      </c>
      <c r="G10" s="4" t="n">
        <v>1.3</v>
      </c>
      <c r="H10" s="4" t="n">
        <v>0.3</v>
      </c>
      <c r="I10" s="4" t="n">
        <v>27467.7</v>
      </c>
      <c r="J10" s="4" t="n">
        <v>42887</v>
      </c>
      <c r="K10" s="4" t="n">
        <v>9641.4</v>
      </c>
      <c r="L10" s="4">
        <f>$K$10*30</f>
        <v/>
      </c>
      <c r="M10" s="4">
        <f>ROUND($L$10/($J$10/3),0)</f>
        <v/>
      </c>
    </row>
    <row r="11">
      <c r="B11" s="4" t="n">
        <v>908</v>
      </c>
      <c r="C11" s="4" t="n">
        <v>240</v>
      </c>
      <c r="D11" s="4" t="inlineStr">
        <is>
          <t>['弓箭手', '士兵', '弓']</t>
        </is>
      </c>
      <c r="E11" s="4" t="n">
        <v>1</v>
      </c>
      <c r="F11" s="4">
        <f>SUM($E$4:$E11)</f>
        <v/>
      </c>
      <c r="G11" s="4" t="n">
        <v>1.3</v>
      </c>
      <c r="H11" s="4" t="n">
        <v>0.4</v>
      </c>
      <c r="I11" s="4" t="n">
        <v>27467.7</v>
      </c>
      <c r="J11" s="4" t="n">
        <v>44735.5</v>
      </c>
      <c r="K11" s="4" t="n">
        <v>10607.9</v>
      </c>
      <c r="L11" s="4">
        <f>$K$11*30</f>
        <v/>
      </c>
      <c r="M11" s="4">
        <f>ROUND($L$11/($J$11/3),0)</f>
        <v/>
      </c>
    </row>
    <row r="12">
      <c r="B12" s="4" t="n">
        <v>909</v>
      </c>
      <c r="C12" s="4" t="n">
        <v>270</v>
      </c>
      <c r="D12" s="4" t="inlineStr">
        <is>
          <t>['弓箭手', '士兵', '弓']</t>
        </is>
      </c>
      <c r="E12" s="4" t="n">
        <v>1</v>
      </c>
      <c r="F12" s="4">
        <f>SUM($E$4:$E12)</f>
        <v/>
      </c>
      <c r="G12" s="4" t="n">
        <v>1.3</v>
      </c>
      <c r="H12" s="4" t="n">
        <v>0.4</v>
      </c>
      <c r="I12" s="4" t="n">
        <v>27467.7</v>
      </c>
      <c r="J12" s="4" t="n">
        <v>46611.1</v>
      </c>
      <c r="K12" s="4" t="n">
        <v>11649.3</v>
      </c>
      <c r="L12" s="4">
        <f>$K$12*30</f>
        <v/>
      </c>
      <c r="M12" s="4">
        <f>ROUND($L$12/($J$12/3),0)</f>
        <v/>
      </c>
    </row>
    <row r="13">
      <c r="B13" s="4" t="n">
        <v>910</v>
      </c>
      <c r="C13" s="4" t="n">
        <v>300</v>
      </c>
      <c r="D13" s="4" t="inlineStr">
        <is>
          <t>['弓箭手', '士兵', '弓']</t>
        </is>
      </c>
      <c r="E13" s="4" t="n">
        <v>1</v>
      </c>
      <c r="F13" s="4">
        <f>SUM($E$4:$E13)</f>
        <v/>
      </c>
      <c r="G13" s="4" t="n">
        <v>1.4</v>
      </c>
      <c r="H13" s="4" t="n">
        <v>0.5</v>
      </c>
      <c r="I13" s="4" t="n">
        <v>27467.7</v>
      </c>
      <c r="J13" s="4" t="n">
        <v>48513.6</v>
      </c>
      <c r="K13" s="4" t="n">
        <v>12770.3</v>
      </c>
      <c r="L13" s="4">
        <f>$K$13*30</f>
        <v/>
      </c>
      <c r="M13" s="4">
        <f>ROUND($L$13/($J$13/3),0)</f>
        <v/>
      </c>
    </row>
    <row r="14">
      <c r="B14" s="4" t="n">
        <v>911</v>
      </c>
      <c r="C14" s="4" t="n">
        <v>330</v>
      </c>
      <c r="D14" s="4" t="inlineStr">
        <is>
          <t>['弓箭手', '士兵', '弓']</t>
        </is>
      </c>
      <c r="E14" s="4" t="n">
        <v>1</v>
      </c>
      <c r="F14" s="4">
        <f>SUM($E$4:$E14)</f>
        <v/>
      </c>
      <c r="G14" s="4" t="n">
        <v>1.4</v>
      </c>
      <c r="H14" s="4" t="n">
        <v>0.5</v>
      </c>
      <c r="I14" s="4" t="n">
        <v>27467.7</v>
      </c>
      <c r="J14" s="4" t="n">
        <v>50443.3</v>
      </c>
      <c r="K14" s="4" t="n">
        <v>13975.7</v>
      </c>
      <c r="L14" s="4">
        <f>$K$14*30</f>
        <v/>
      </c>
      <c r="M14" s="4">
        <f>ROUND($L$14/($J$14/3),0)</f>
        <v/>
      </c>
    </row>
    <row r="15">
      <c r="B15" s="4" t="n">
        <v>912</v>
      </c>
      <c r="C15" s="4" t="n">
        <v>360</v>
      </c>
      <c r="D15" s="4" t="inlineStr">
        <is>
          <t>['弓箭手', '士兵', '弓']</t>
        </is>
      </c>
      <c r="E15" s="4" t="n">
        <v>1</v>
      </c>
      <c r="F15" s="4">
        <f>SUM($E$4:$E15)</f>
        <v/>
      </c>
      <c r="G15" s="4" t="n">
        <v>1.4</v>
      </c>
      <c r="H15" s="4" t="n">
        <v>0.5</v>
      </c>
      <c r="I15" s="4" t="n">
        <v>27467.7</v>
      </c>
      <c r="J15" s="4" t="n">
        <v>52400</v>
      </c>
      <c r="K15" s="4" t="n">
        <v>15270.6</v>
      </c>
      <c r="L15" s="4">
        <f>$K$15*30</f>
        <v/>
      </c>
      <c r="M15" s="4">
        <f>ROUND($L$15/($J$15/3),0)</f>
        <v/>
      </c>
    </row>
    <row r="16">
      <c r="B16" s="4" t="n">
        <v>913</v>
      </c>
      <c r="C16" s="4" t="n">
        <v>390</v>
      </c>
      <c r="D16" s="4" t="inlineStr">
        <is>
          <t>['弓箭手', '士兵', '弓']</t>
        </is>
      </c>
      <c r="E16" s="4" t="n">
        <v>1</v>
      </c>
      <c r="F16" s="4">
        <f>SUM($E$4:$E16)</f>
        <v/>
      </c>
      <c r="G16" s="4" t="n">
        <v>1.5</v>
      </c>
      <c r="H16" s="4" t="n">
        <v>0.6</v>
      </c>
      <c r="I16" s="4" t="n">
        <v>27467.7</v>
      </c>
      <c r="J16" s="4" t="n">
        <v>54383.7</v>
      </c>
      <c r="K16" s="4" t="n">
        <v>16660.3</v>
      </c>
      <c r="L16" s="4">
        <f>$K$16*30</f>
        <v/>
      </c>
      <c r="M16" s="4">
        <f>ROUND($L$16/($J$16/3),0)</f>
        <v/>
      </c>
    </row>
    <row r="17">
      <c r="B17" s="4" t="n">
        <v>914</v>
      </c>
      <c r="C17" s="4" t="n">
        <v>420</v>
      </c>
      <c r="D17" s="4" t="inlineStr">
        <is>
          <t>['弓箭手', '士兵', '弓']</t>
        </is>
      </c>
      <c r="E17" s="4" t="n">
        <v>1</v>
      </c>
      <c r="F17" s="4">
        <f>SUM($E$4:$E17)</f>
        <v/>
      </c>
      <c r="G17" s="4" t="n">
        <v>1.5</v>
      </c>
      <c r="H17" s="4" t="n">
        <v>0.6</v>
      </c>
      <c r="I17" s="4" t="n">
        <v>27467.7</v>
      </c>
      <c r="J17" s="4" t="n">
        <v>56394.5</v>
      </c>
      <c r="K17" s="4" t="n">
        <v>18150.5</v>
      </c>
      <c r="L17" s="4">
        <f>$K$17*30</f>
        <v/>
      </c>
      <c r="M17" s="4">
        <f>ROUND($L$17/($J$17/3),0)</f>
        <v/>
      </c>
    </row>
    <row r="18">
      <c r="B18" s="4" t="n">
        <v>915</v>
      </c>
      <c r="C18" s="4" t="n">
        <v>450</v>
      </c>
      <c r="D18" s="4" t="inlineStr">
        <is>
          <t>['弓箭手', '士兵', '弓']</t>
        </is>
      </c>
      <c r="E18" s="4" t="n">
        <v>1</v>
      </c>
      <c r="F18" s="4">
        <f>SUM($E$4:$E18)</f>
        <v/>
      </c>
      <c r="G18" s="4" t="n">
        <v>1.5</v>
      </c>
      <c r="H18" s="4" t="n">
        <v>0.6</v>
      </c>
      <c r="I18" s="4" t="n">
        <v>27467.7</v>
      </c>
      <c r="J18" s="4" t="n">
        <v>58432.4</v>
      </c>
      <c r="K18" s="4" t="n">
        <v>19747</v>
      </c>
      <c r="L18" s="4">
        <f>$K$18*30</f>
        <v/>
      </c>
      <c r="M18" s="4">
        <f>ROUND($L$18/($J$18/3),0)</f>
        <v/>
      </c>
    </row>
    <row r="19">
      <c r="B19" s="4" t="n">
        <v>916</v>
      </c>
      <c r="C19" s="4" t="n">
        <v>480</v>
      </c>
      <c r="D19" s="4" t="inlineStr">
        <is>
          <t>['弓箭手', '士兵', '弓']</t>
        </is>
      </c>
      <c r="E19" s="4" t="n">
        <v>1</v>
      </c>
      <c r="F19" s="4">
        <f>SUM($E$4:$E19)</f>
        <v/>
      </c>
      <c r="G19" s="4" t="n">
        <v>1.6</v>
      </c>
      <c r="H19" s="4" t="n">
        <v>0.7</v>
      </c>
      <c r="I19" s="4" t="n">
        <v>27467.7</v>
      </c>
      <c r="J19" s="4" t="n">
        <v>60497.3</v>
      </c>
      <c r="K19" s="4" t="n">
        <v>21456</v>
      </c>
      <c r="L19" s="4">
        <f>$K$19*30</f>
        <v/>
      </c>
      <c r="M19" s="4">
        <f>ROUND($L$19/($J$19/3),0)</f>
        <v/>
      </c>
    </row>
    <row r="20">
      <c r="B20" s="4" t="n">
        <v>917</v>
      </c>
      <c r="C20" s="4" t="n">
        <v>510</v>
      </c>
      <c r="D20" s="4" t="inlineStr">
        <is>
          <t>['弓箭手', '士兵', '弓']</t>
        </is>
      </c>
      <c r="E20" s="4" t="n">
        <v>0</v>
      </c>
      <c r="F20" s="4">
        <f>SUM($E$4:$E20)</f>
        <v/>
      </c>
      <c r="G20" s="4" t="n">
        <v>1.6</v>
      </c>
      <c r="H20" s="4" t="n">
        <v>0.7</v>
      </c>
      <c r="I20" s="4" t="n">
        <v>27467.7</v>
      </c>
      <c r="J20" s="4" t="n">
        <v>60497.3</v>
      </c>
      <c r="K20" s="4" t="n">
        <v>21456</v>
      </c>
      <c r="L20" s="4">
        <f>$K$20*30</f>
        <v/>
      </c>
      <c r="M20" s="4">
        <f>ROUND($L$20/($J$20/3),0)</f>
        <v/>
      </c>
    </row>
    <row r="21">
      <c r="B21" s="4" t="n">
        <v>918</v>
      </c>
      <c r="C21" s="4" t="n">
        <v>540</v>
      </c>
      <c r="D21" s="4" t="inlineStr">
        <is>
          <t>['弓箭手', '士兵', '弓']</t>
        </is>
      </c>
      <c r="E21" s="4" t="n">
        <v>1</v>
      </c>
      <c r="F21" s="4">
        <f>SUM($E$4:$E21)</f>
        <v/>
      </c>
      <c r="G21" s="4" t="n">
        <v>1.6</v>
      </c>
      <c r="H21" s="4" t="n">
        <v>0.7</v>
      </c>
      <c r="I21" s="4" t="n">
        <v>27467.7</v>
      </c>
      <c r="J21" s="4" t="n">
        <v>62589.2</v>
      </c>
      <c r="K21" s="4" t="n">
        <v>23284.1</v>
      </c>
      <c r="L21" s="4">
        <f>$K$21*30</f>
        <v/>
      </c>
      <c r="M21" s="4">
        <f>ROUND($L$21/($J$21/3),0)</f>
        <v/>
      </c>
    </row>
    <row r="22">
      <c r="B22" s="4" t="n">
        <v>919</v>
      </c>
      <c r="C22" s="4" t="n">
        <v>570</v>
      </c>
      <c r="D22" s="4" t="inlineStr">
        <is>
          <t>['弓箭手', '士兵', '弓']</t>
        </is>
      </c>
      <c r="E22" s="4" t="n">
        <v>1</v>
      </c>
      <c r="F22" s="4">
        <f>SUM($E$4:$E22)</f>
        <v/>
      </c>
      <c r="G22" s="4" t="n">
        <v>1.7</v>
      </c>
      <c r="H22" s="4" t="n">
        <v>0.8</v>
      </c>
      <c r="I22" s="4" t="n">
        <v>27467.7</v>
      </c>
      <c r="J22" s="4" t="n">
        <v>64708.2</v>
      </c>
      <c r="K22" s="4" t="n">
        <v>25238.1</v>
      </c>
      <c r="L22" s="4">
        <f>$K$22*30</f>
        <v/>
      </c>
      <c r="M22" s="4">
        <f>ROUND($L$22/($J$22/3),0)</f>
        <v/>
      </c>
    </row>
    <row r="23">
      <c r="B23" s="4" t="n">
        <v>920</v>
      </c>
      <c r="C23" s="4" t="n">
        <v>600</v>
      </c>
      <c r="D23" s="4" t="inlineStr">
        <is>
          <t>['弓箭手', '士兵', '弓']</t>
        </is>
      </c>
      <c r="E23" s="4" t="n">
        <v>1</v>
      </c>
      <c r="F23" s="4">
        <f>SUM($E$4:$E23)</f>
        <v/>
      </c>
      <c r="G23" s="4" t="n">
        <v>1.7</v>
      </c>
      <c r="H23" s="4" t="n">
        <v>0.8</v>
      </c>
      <c r="I23" s="4" t="n">
        <v>27467.7</v>
      </c>
      <c r="J23" s="4" t="n">
        <v>66854.3</v>
      </c>
      <c r="K23" s="4" t="n">
        <v>27325.1</v>
      </c>
      <c r="L23" s="4">
        <f>$K$23*30</f>
        <v/>
      </c>
      <c r="M23" s="4">
        <f>ROUND($L$23/($J$23/3),0)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19.8" customWidth="1" min="2" max="2"/>
    <col width="19.8" customWidth="1" min="3" max="3"/>
    <col width="8.800000000000001" customWidth="1" min="4" max="4"/>
    <col width="15.4" customWidth="1" min="5" max="5"/>
    <col width="11" customWidth="1" min="6" max="6"/>
    <col width="13.2" customWidth="1" min="7" max="7"/>
    <col width="24.2" customWidth="1" min="8" max="8"/>
    <col width="13.2" customWidth="1" min="9" max="9"/>
    <col width="17.6" customWidth="1" min="10" max="10"/>
    <col width="17.6" customWidth="1" min="11" max="11"/>
    <col width="19.8" customWidth="1" min="12" max="12"/>
    <col width="30.8" customWidth="1" min="13" max="13"/>
  </cols>
  <sheetData>
    <row r="1">
      <c r="A1" s="3" t="inlineStr">
        <is>
          <t>##var</t>
        </is>
      </c>
      <c r="B1" s="3" t="inlineStr">
        <is>
          <t>角色等级和波次</t>
        </is>
      </c>
      <c r="C1" s="3" t="inlineStr">
        <is>
          <t>时间点_30s</t>
        </is>
      </c>
      <c r="D1" s="3" t="inlineStr">
        <is>
          <t>阵容</t>
        </is>
      </c>
      <c r="E1" s="3" t="inlineStr">
        <is>
          <t>选技能次数</t>
        </is>
      </c>
      <c r="F1" s="3" t="inlineStr">
        <is>
          <t>总次数</t>
        </is>
      </c>
      <c r="G1" s="3" t="inlineStr">
        <is>
          <t>消除倍率</t>
        </is>
      </c>
      <c r="H1" s="3" t="inlineStr">
        <is>
          <t>每块小兵增加期望值</t>
        </is>
      </c>
      <c r="I1" s="3" t="inlineStr">
        <is>
          <t>初始战力</t>
        </is>
      </c>
      <c r="J1" s="3" t="inlineStr">
        <is>
          <t>当前阵容战力</t>
        </is>
      </c>
      <c r="K1" s="3" t="inlineStr">
        <is>
          <t>战力产出效率</t>
        </is>
      </c>
      <c r="L1" s="3" t="inlineStr">
        <is>
          <t>每波怪物总战力</t>
        </is>
      </c>
      <c r="M1" s="3" t="inlineStr">
        <is>
          <t>平均相当于多少个上阵角色</t>
        </is>
      </c>
    </row>
    <row r="2">
      <c r="A2" s="3" t="inlineStr">
        <is>
          <t>##type</t>
        </is>
      </c>
      <c r="B2" s="3" t="inlineStr">
        <is>
          <t>int</t>
        </is>
      </c>
      <c r="C2" s="3" t="inlineStr">
        <is>
          <t>float</t>
        </is>
      </c>
      <c r="D2" s="3" t="inlineStr">
        <is>
          <t>string</t>
        </is>
      </c>
      <c r="E2" s="3" t="inlineStr">
        <is>
          <t>int</t>
        </is>
      </c>
      <c r="F2" s="3" t="inlineStr">
        <is>
          <t>int</t>
        </is>
      </c>
      <c r="G2" s="3" t="inlineStr">
        <is>
          <t>float</t>
        </is>
      </c>
      <c r="H2" s="3" t="inlineStr">
        <is>
          <t>float</t>
        </is>
      </c>
      <c r="I2" s="3" t="inlineStr">
        <is>
          <t>float</t>
        </is>
      </c>
      <c r="J2" s="3" t="inlineStr">
        <is>
          <t>float</t>
        </is>
      </c>
      <c r="K2" s="3" t="inlineStr">
        <is>
          <t>float</t>
        </is>
      </c>
      <c r="L2" s="3" t="inlineStr">
        <is>
          <t>float</t>
        </is>
      </c>
      <c r="M2" s="3" t="inlineStr">
        <is>
          <t>float</t>
        </is>
      </c>
    </row>
    <row r="3">
      <c r="A3" s="3" t="inlineStr">
        <is>
          <t>##</t>
        </is>
      </c>
      <c r="B3" s="3" t="inlineStr">
        <is>
          <t>角色等级和波次</t>
        </is>
      </c>
      <c r="C3" s="3" t="inlineStr">
        <is>
          <t>时间点_30s</t>
        </is>
      </c>
      <c r="D3" s="3" t="inlineStr">
        <is>
          <t>阵容</t>
        </is>
      </c>
      <c r="E3" s="3" t="inlineStr">
        <is>
          <t>选技能次数</t>
        </is>
      </c>
      <c r="F3" s="3" t="inlineStr">
        <is>
          <t>总次数</t>
        </is>
      </c>
      <c r="G3" s="3" t="inlineStr">
        <is>
          <t>消除倍率</t>
        </is>
      </c>
      <c r="H3" s="3" t="inlineStr">
        <is>
          <t>每块小兵增加期望值</t>
        </is>
      </c>
      <c r="I3" s="3" t="inlineStr">
        <is>
          <t>初始战力</t>
        </is>
      </c>
      <c r="J3" s="3" t="inlineStr">
        <is>
          <t>当前阵容战力</t>
        </is>
      </c>
      <c r="K3" s="3" t="inlineStr">
        <is>
          <t>战力产出效率</t>
        </is>
      </c>
      <c r="L3" s="3" t="inlineStr">
        <is>
          <t>每波怪物总战力</t>
        </is>
      </c>
      <c r="M3" s="3" t="inlineStr">
        <is>
          <t>平均相当于多少个上阵角色</t>
        </is>
      </c>
    </row>
    <row r="4">
      <c r="B4" s="4" t="n">
        <v>801</v>
      </c>
      <c r="C4" s="4" t="n">
        <v>30</v>
      </c>
      <c r="D4" s="4" t="inlineStr">
        <is>
          <t>['弓箭手', '士兵', '弓']</t>
        </is>
      </c>
      <c r="E4" s="4" t="n">
        <v>1</v>
      </c>
      <c r="F4" s="4">
        <f>SUM($E$4:$E4)</f>
        <v/>
      </c>
      <c r="G4" s="4" t="n">
        <v>1</v>
      </c>
      <c r="H4" s="4" t="n">
        <v>0</v>
      </c>
      <c r="I4" s="4" t="n">
        <v>19210.8</v>
      </c>
      <c r="J4" s="4" t="n">
        <v>20332.9</v>
      </c>
      <c r="K4" s="4" t="n">
        <v>2886.2</v>
      </c>
      <c r="L4" s="4">
        <f>$K$4*30</f>
        <v/>
      </c>
      <c r="M4" s="4">
        <f>ROUND($L$4/($J$4/3),0)</f>
        <v/>
      </c>
    </row>
    <row r="5">
      <c r="B5" s="4" t="n">
        <v>802</v>
      </c>
      <c r="C5" s="4" t="n">
        <v>60</v>
      </c>
      <c r="D5" s="4" t="inlineStr">
        <is>
          <t>['弓箭手', '士兵', '弓']</t>
        </is>
      </c>
      <c r="E5" s="4" t="n">
        <v>2</v>
      </c>
      <c r="F5" s="4">
        <f>SUM($E$4:$E5)</f>
        <v/>
      </c>
      <c r="G5" s="4" t="n">
        <v>1.1</v>
      </c>
      <c r="H5" s="4" t="n">
        <v>0.1</v>
      </c>
      <c r="I5" s="4" t="n">
        <v>19210.8</v>
      </c>
      <c r="J5" s="4" t="n">
        <v>22634</v>
      </c>
      <c r="K5" s="4" t="n">
        <v>3627.3</v>
      </c>
      <c r="L5" s="4">
        <f>$K$5*30</f>
        <v/>
      </c>
      <c r="M5" s="4">
        <f>ROUND($L$5/($J$5/3),0)</f>
        <v/>
      </c>
    </row>
    <row r="6">
      <c r="B6" s="4" t="n">
        <v>803</v>
      </c>
      <c r="C6" s="4" t="n">
        <v>90</v>
      </c>
      <c r="D6" s="4" t="inlineStr">
        <is>
          <t>['弓箭手', '士兵', '弓']</t>
        </is>
      </c>
      <c r="E6" s="4" t="n">
        <v>1</v>
      </c>
      <c r="F6" s="4">
        <f>SUM($E$4:$E6)</f>
        <v/>
      </c>
      <c r="G6" s="4" t="n">
        <v>1.1</v>
      </c>
      <c r="H6" s="4" t="n">
        <v>0.2</v>
      </c>
      <c r="I6" s="4" t="n">
        <v>19210.8</v>
      </c>
      <c r="J6" s="4" t="n">
        <v>23812.9</v>
      </c>
      <c r="K6" s="4" t="n">
        <v>4047.7</v>
      </c>
      <c r="L6" s="4">
        <f>$K$6*30</f>
        <v/>
      </c>
      <c r="M6" s="4">
        <f>ROUND($L$6/($J$6/3),0)</f>
        <v/>
      </c>
    </row>
    <row r="7">
      <c r="B7" s="4" t="n">
        <v>804</v>
      </c>
      <c r="C7" s="4" t="n">
        <v>120</v>
      </c>
      <c r="D7" s="4" t="inlineStr">
        <is>
          <t>['弓箭手', '士兵', '弓']</t>
        </is>
      </c>
      <c r="E7" s="4" t="n">
        <v>1</v>
      </c>
      <c r="F7" s="4">
        <f>SUM($E$4:$E7)</f>
        <v/>
      </c>
      <c r="G7" s="4" t="n">
        <v>1.1</v>
      </c>
      <c r="H7" s="4" t="n">
        <v>0.2</v>
      </c>
      <c r="I7" s="4" t="n">
        <v>19210.8</v>
      </c>
      <c r="J7" s="4" t="n">
        <v>25010.7</v>
      </c>
      <c r="K7" s="4" t="n">
        <v>4504.3</v>
      </c>
      <c r="L7" s="4">
        <f>$K$7*30</f>
        <v/>
      </c>
      <c r="M7" s="4">
        <f>ROUND($L$7/($J$7/3),0)</f>
        <v/>
      </c>
    </row>
    <row r="8">
      <c r="B8" s="4" t="n">
        <v>805</v>
      </c>
      <c r="C8" s="4" t="n">
        <v>150</v>
      </c>
      <c r="D8" s="4" t="inlineStr">
        <is>
          <t>['弓箭手', '士兵', '弓']</t>
        </is>
      </c>
      <c r="E8" s="4" t="n">
        <v>1</v>
      </c>
      <c r="F8" s="4">
        <f>SUM($E$4:$E8)</f>
        <v/>
      </c>
      <c r="G8" s="4" t="n">
        <v>1.2</v>
      </c>
      <c r="H8" s="4" t="n">
        <v>0.2</v>
      </c>
      <c r="I8" s="4" t="n">
        <v>19210.8</v>
      </c>
      <c r="J8" s="4" t="n">
        <v>26227.4</v>
      </c>
      <c r="K8" s="4" t="n">
        <v>4999.6</v>
      </c>
      <c r="L8" s="4">
        <f>$K$8*30</f>
        <v/>
      </c>
      <c r="M8" s="4">
        <f>ROUND($L$8/($J$8/3),0)</f>
        <v/>
      </c>
    </row>
    <row r="9">
      <c r="B9" s="4" t="n">
        <v>806</v>
      </c>
      <c r="C9" s="4" t="n">
        <v>180</v>
      </c>
      <c r="D9" s="4" t="inlineStr">
        <is>
          <t>['弓箭手', '士兵', '弓']</t>
        </is>
      </c>
      <c r="E9" s="4" t="n">
        <v>1</v>
      </c>
      <c r="F9" s="4">
        <f>SUM($E$4:$E9)</f>
        <v/>
      </c>
      <c r="G9" s="4" t="n">
        <v>1.2</v>
      </c>
      <c r="H9" s="4" t="n">
        <v>0.3</v>
      </c>
      <c r="I9" s="4" t="n">
        <v>19210.8</v>
      </c>
      <c r="J9" s="4" t="n">
        <v>27463</v>
      </c>
      <c r="K9" s="4" t="n">
        <v>5535.9</v>
      </c>
      <c r="L9" s="4">
        <f>$K$9*30</f>
        <v/>
      </c>
      <c r="M9" s="4">
        <f>ROUND($L$9/($J$9/3),0)</f>
        <v/>
      </c>
    </row>
    <row r="10">
      <c r="B10" s="4" t="n">
        <v>807</v>
      </c>
      <c r="C10" s="4" t="n">
        <v>210</v>
      </c>
      <c r="D10" s="4" t="inlineStr">
        <is>
          <t>['弓箭手', '士兵', '弓']</t>
        </is>
      </c>
      <c r="E10" s="4" t="n">
        <v>2</v>
      </c>
      <c r="F10" s="4">
        <f>SUM($E$4:$E10)</f>
        <v/>
      </c>
      <c r="G10" s="4" t="n">
        <v>1.3</v>
      </c>
      <c r="H10" s="4" t="n">
        <v>0.3</v>
      </c>
      <c r="I10" s="4" t="n">
        <v>19210.8</v>
      </c>
      <c r="J10" s="4" t="n">
        <v>29991</v>
      </c>
      <c r="K10" s="4" t="n">
        <v>6742.3</v>
      </c>
      <c r="L10" s="4">
        <f>$K$10*30</f>
        <v/>
      </c>
      <c r="M10" s="4">
        <f>ROUND($L$10/($J$10/3),0)</f>
        <v/>
      </c>
    </row>
    <row r="11">
      <c r="B11" s="4" t="n">
        <v>808</v>
      </c>
      <c r="C11" s="4" t="n">
        <v>240</v>
      </c>
      <c r="D11" s="4" t="inlineStr">
        <is>
          <t>['弓箭手', '士兵', '弓']</t>
        </is>
      </c>
      <c r="E11" s="4" t="n">
        <v>1</v>
      </c>
      <c r="F11" s="4">
        <f>SUM($E$4:$E11)</f>
        <v/>
      </c>
      <c r="G11" s="4" t="n">
        <v>1.3</v>
      </c>
      <c r="H11" s="4" t="n">
        <v>0.4</v>
      </c>
      <c r="I11" s="4" t="n">
        <v>19210.8</v>
      </c>
      <c r="J11" s="4" t="n">
        <v>31283.4</v>
      </c>
      <c r="K11" s="4" t="n">
        <v>7418.1</v>
      </c>
      <c r="L11" s="4">
        <f>$K$11*30</f>
        <v/>
      </c>
      <c r="M11" s="4">
        <f>ROUND($L$11/($J$11/3),0)</f>
        <v/>
      </c>
    </row>
    <row r="12">
      <c r="B12" s="4" t="n">
        <v>809</v>
      </c>
      <c r="C12" s="4" t="n">
        <v>270</v>
      </c>
      <c r="D12" s="4" t="inlineStr">
        <is>
          <t>['弓箭手', '士兵', '弓']</t>
        </is>
      </c>
      <c r="E12" s="4" t="n">
        <v>1</v>
      </c>
      <c r="F12" s="4">
        <f>SUM($E$4:$E12)</f>
        <v/>
      </c>
      <c r="G12" s="4" t="n">
        <v>1.3</v>
      </c>
      <c r="H12" s="4" t="n">
        <v>0.4</v>
      </c>
      <c r="I12" s="4" t="n">
        <v>19210.8</v>
      </c>
      <c r="J12" s="4" t="n">
        <v>32594.6</v>
      </c>
      <c r="K12" s="4" t="n">
        <v>8146.3</v>
      </c>
      <c r="L12" s="4">
        <f>$K$12*30</f>
        <v/>
      </c>
      <c r="M12" s="4">
        <f>ROUND($L$12/($J$12/3),0)</f>
        <v/>
      </c>
    </row>
    <row r="13">
      <c r="B13" s="4" t="n">
        <v>810</v>
      </c>
      <c r="C13" s="4" t="n">
        <v>300</v>
      </c>
      <c r="D13" s="4" t="inlineStr">
        <is>
          <t>['弓箭手', '士兵', '弓']</t>
        </is>
      </c>
      <c r="E13" s="4" t="n">
        <v>1</v>
      </c>
      <c r="F13" s="4">
        <f>SUM($E$4:$E13)</f>
        <v/>
      </c>
      <c r="G13" s="4" t="n">
        <v>1.4</v>
      </c>
      <c r="H13" s="4" t="n">
        <v>0.5</v>
      </c>
      <c r="I13" s="4" t="n">
        <v>19210.8</v>
      </c>
      <c r="J13" s="4" t="n">
        <v>33924.8</v>
      </c>
      <c r="K13" s="4" t="n">
        <v>8930.1</v>
      </c>
      <c r="L13" s="4">
        <f>$K$13*30</f>
        <v/>
      </c>
      <c r="M13" s="4">
        <f>ROUND($L$13/($J$13/3),0)</f>
        <v/>
      </c>
    </row>
    <row r="14">
      <c r="B14" s="4" t="n">
        <v>811</v>
      </c>
      <c r="C14" s="4" t="n">
        <v>330</v>
      </c>
      <c r="D14" s="4" t="inlineStr">
        <is>
          <t>['弓箭手', '士兵', '弓']</t>
        </is>
      </c>
      <c r="E14" s="4" t="n">
        <v>1</v>
      </c>
      <c r="F14" s="4">
        <f>SUM($E$4:$E14)</f>
        <v/>
      </c>
      <c r="G14" s="4" t="n">
        <v>1.4</v>
      </c>
      <c r="H14" s="4" t="n">
        <v>0.5</v>
      </c>
      <c r="I14" s="4" t="n">
        <v>19210.8</v>
      </c>
      <c r="J14" s="4" t="n">
        <v>35273.9</v>
      </c>
      <c r="K14" s="4" t="n">
        <v>9772.9</v>
      </c>
      <c r="L14" s="4">
        <f>$K$14*30</f>
        <v/>
      </c>
      <c r="M14" s="4">
        <f>ROUND($L$14/($J$14/3),0)</f>
        <v/>
      </c>
    </row>
    <row r="15">
      <c r="B15" s="4" t="n">
        <v>812</v>
      </c>
      <c r="C15" s="4" t="n">
        <v>360</v>
      </c>
      <c r="D15" s="4" t="inlineStr">
        <is>
          <t>['弓箭手', '士兵', '弓']</t>
        </is>
      </c>
      <c r="E15" s="4" t="n">
        <v>1</v>
      </c>
      <c r="F15" s="4">
        <f>SUM($E$4:$E15)</f>
        <v/>
      </c>
      <c r="G15" s="4" t="n">
        <v>1.4</v>
      </c>
      <c r="H15" s="4" t="n">
        <v>0.5</v>
      </c>
      <c r="I15" s="4" t="n">
        <v>19210.8</v>
      </c>
      <c r="J15" s="4" t="n">
        <v>36641.9</v>
      </c>
      <c r="K15" s="4" t="n">
        <v>10678.3</v>
      </c>
      <c r="L15" s="4">
        <f>$K$15*30</f>
        <v/>
      </c>
      <c r="M15" s="4">
        <f>ROUND($L$15/($J$15/3),0)</f>
        <v/>
      </c>
    </row>
    <row r="16">
      <c r="B16" s="4" t="n">
        <v>813</v>
      </c>
      <c r="C16" s="4" t="n">
        <v>390</v>
      </c>
      <c r="D16" s="4" t="inlineStr">
        <is>
          <t>['弓箭手', '士兵', '弓']</t>
        </is>
      </c>
      <c r="E16" s="4" t="n">
        <v>1</v>
      </c>
      <c r="F16" s="4">
        <f>SUM($E$4:$E16)</f>
        <v/>
      </c>
      <c r="G16" s="4" t="n">
        <v>1.5</v>
      </c>
      <c r="H16" s="4" t="n">
        <v>0.6</v>
      </c>
      <c r="I16" s="4" t="n">
        <v>19210.8</v>
      </c>
      <c r="J16" s="4" t="n">
        <v>38028.8</v>
      </c>
      <c r="K16" s="4" t="n">
        <v>11650</v>
      </c>
      <c r="L16" s="4">
        <f>$K$16*30</f>
        <v/>
      </c>
      <c r="M16" s="4">
        <f>ROUND($L$16/($J$16/3),0)</f>
        <v/>
      </c>
    </row>
    <row r="17">
      <c r="B17" s="4" t="n">
        <v>814</v>
      </c>
      <c r="C17" s="4" t="n">
        <v>420</v>
      </c>
      <c r="D17" s="4" t="inlineStr">
        <is>
          <t>['弓箭手', '士兵', '弓']</t>
        </is>
      </c>
      <c r="E17" s="4" t="n">
        <v>1</v>
      </c>
      <c r="F17" s="4">
        <f>SUM($E$4:$E17)</f>
        <v/>
      </c>
      <c r="G17" s="4" t="n">
        <v>1.5</v>
      </c>
      <c r="H17" s="4" t="n">
        <v>0.6</v>
      </c>
      <c r="I17" s="4" t="n">
        <v>19210.8</v>
      </c>
      <c r="J17" s="4" t="n">
        <v>39434.6</v>
      </c>
      <c r="K17" s="4" t="n">
        <v>12692</v>
      </c>
      <c r="L17" s="4">
        <f>$K$17*30</f>
        <v/>
      </c>
      <c r="M17" s="4">
        <f>ROUND($L$17/($J$17/3),0)</f>
        <v/>
      </c>
    </row>
    <row r="18">
      <c r="B18" s="4" t="n">
        <v>815</v>
      </c>
      <c r="C18" s="4" t="n">
        <v>450</v>
      </c>
      <c r="D18" s="4" t="inlineStr">
        <is>
          <t>['弓箭手', '士兵', '弓']</t>
        </is>
      </c>
      <c r="E18" s="4" t="n">
        <v>1</v>
      </c>
      <c r="F18" s="4">
        <f>SUM($E$4:$E18)</f>
        <v/>
      </c>
      <c r="G18" s="4" t="n">
        <v>1.5</v>
      </c>
      <c r="H18" s="4" t="n">
        <v>0.6</v>
      </c>
      <c r="I18" s="4" t="n">
        <v>19210.8</v>
      </c>
      <c r="J18" s="4" t="n">
        <v>40859.3</v>
      </c>
      <c r="K18" s="4" t="n">
        <v>13808.2</v>
      </c>
      <c r="L18" s="4">
        <f>$K$18*30</f>
        <v/>
      </c>
      <c r="M18" s="4">
        <f>ROUND($L$18/($J$18/3),0)</f>
        <v/>
      </c>
    </row>
    <row r="19">
      <c r="B19" s="4" t="n">
        <v>816</v>
      </c>
      <c r="C19" s="4" t="n">
        <v>480</v>
      </c>
      <c r="D19" s="4" t="inlineStr">
        <is>
          <t>['弓箭手', '士兵', '弓']</t>
        </is>
      </c>
      <c r="E19" s="4" t="n">
        <v>1</v>
      </c>
      <c r="F19" s="4">
        <f>SUM($E$4:$E19)</f>
        <v/>
      </c>
      <c r="G19" s="4" t="n">
        <v>1.6</v>
      </c>
      <c r="H19" s="4" t="n">
        <v>0.7</v>
      </c>
      <c r="I19" s="4" t="n">
        <v>19210.8</v>
      </c>
      <c r="J19" s="4" t="n">
        <v>42302.9</v>
      </c>
      <c r="K19" s="4" t="n">
        <v>15003.2</v>
      </c>
      <c r="L19" s="4">
        <f>$K$19*30</f>
        <v/>
      </c>
      <c r="M19" s="4">
        <f>ROUND($L$19/($J$19/3),0)</f>
        <v/>
      </c>
    </row>
    <row r="20">
      <c r="B20" s="4" t="n">
        <v>817</v>
      </c>
      <c r="C20" s="4" t="n">
        <v>510</v>
      </c>
      <c r="D20" s="4" t="inlineStr">
        <is>
          <t>['弓箭手', '士兵', '弓']</t>
        </is>
      </c>
      <c r="E20" s="4" t="n">
        <v>0</v>
      </c>
      <c r="F20" s="4">
        <f>SUM($E$4:$E20)</f>
        <v/>
      </c>
      <c r="G20" s="4" t="n">
        <v>1.6</v>
      </c>
      <c r="H20" s="4" t="n">
        <v>0.7</v>
      </c>
      <c r="I20" s="4" t="n">
        <v>19210.8</v>
      </c>
      <c r="J20" s="4" t="n">
        <v>42302.9</v>
      </c>
      <c r="K20" s="4" t="n">
        <v>15003.2</v>
      </c>
      <c r="L20" s="4">
        <f>$K$20*30</f>
        <v/>
      </c>
      <c r="M20" s="4">
        <f>ROUND($L$20/($J$20/3),0)</f>
        <v/>
      </c>
    </row>
    <row r="21">
      <c r="B21" s="4" t="n">
        <v>818</v>
      </c>
      <c r="C21" s="4" t="n">
        <v>540</v>
      </c>
      <c r="D21" s="4" t="inlineStr">
        <is>
          <t>['弓箭手', '士兵', '弓']</t>
        </is>
      </c>
      <c r="E21" s="4" t="n">
        <v>1</v>
      </c>
      <c r="F21" s="4">
        <f>SUM($E$4:$E21)</f>
        <v/>
      </c>
      <c r="G21" s="4" t="n">
        <v>1.6</v>
      </c>
      <c r="H21" s="4" t="n">
        <v>0.7</v>
      </c>
      <c r="I21" s="4" t="n">
        <v>19210.8</v>
      </c>
      <c r="J21" s="4" t="n">
        <v>43765.5</v>
      </c>
      <c r="K21" s="4" t="n">
        <v>16281.4</v>
      </c>
      <c r="L21" s="4">
        <f>$K$21*30</f>
        <v/>
      </c>
      <c r="M21" s="4">
        <f>ROUND($L$21/($J$21/3),0)</f>
        <v/>
      </c>
    </row>
    <row r="22">
      <c r="B22" s="4" t="n">
        <v>819</v>
      </c>
      <c r="C22" s="4" t="n">
        <v>570</v>
      </c>
      <c r="D22" s="4" t="inlineStr">
        <is>
          <t>['弓箭手', '士兵', '弓']</t>
        </is>
      </c>
      <c r="E22" s="4" t="n">
        <v>1</v>
      </c>
      <c r="F22" s="4">
        <f>SUM($E$4:$E22)</f>
        <v/>
      </c>
      <c r="G22" s="4" t="n">
        <v>1.7</v>
      </c>
      <c r="H22" s="4" t="n">
        <v>0.8</v>
      </c>
      <c r="I22" s="4" t="n">
        <v>19210.8</v>
      </c>
      <c r="J22" s="4" t="n">
        <v>45246.9</v>
      </c>
      <c r="K22" s="4" t="n">
        <v>17647.6</v>
      </c>
      <c r="L22" s="4">
        <f>$K$22*30</f>
        <v/>
      </c>
      <c r="M22" s="4">
        <f>ROUND($L$22/($J$22/3),0)</f>
        <v/>
      </c>
    </row>
    <row r="23">
      <c r="B23" s="4" t="n">
        <v>820</v>
      </c>
      <c r="C23" s="4" t="n">
        <v>600</v>
      </c>
      <c r="D23" s="4" t="inlineStr">
        <is>
          <t>['弓箭手', '士兵', '弓']</t>
        </is>
      </c>
      <c r="E23" s="4" t="n">
        <v>1</v>
      </c>
      <c r="F23" s="4">
        <f>SUM($E$4:$E23)</f>
        <v/>
      </c>
      <c r="G23" s="4" t="n">
        <v>1.7</v>
      </c>
      <c r="H23" s="4" t="n">
        <v>0.8</v>
      </c>
      <c r="I23" s="4" t="n">
        <v>19210.8</v>
      </c>
      <c r="J23" s="4" t="n">
        <v>46747.3</v>
      </c>
      <c r="K23" s="4" t="n">
        <v>19106.9</v>
      </c>
      <c r="L23" s="4">
        <f>$K$23*30</f>
        <v/>
      </c>
      <c r="M23" s="4">
        <f>ROUND($L$23/($J$23/3),0)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19.8" customWidth="1" min="2" max="2"/>
    <col width="19.8" customWidth="1" min="3" max="3"/>
    <col width="8.800000000000001" customWidth="1" min="4" max="4"/>
    <col width="15.4" customWidth="1" min="5" max="5"/>
    <col width="11" customWidth="1" min="6" max="6"/>
    <col width="13.2" customWidth="1" min="7" max="7"/>
    <col width="24.2" customWidth="1" min="8" max="8"/>
    <col width="13.2" customWidth="1" min="9" max="9"/>
    <col width="17.6" customWidth="1" min="10" max="10"/>
    <col width="17.6" customWidth="1" min="11" max="11"/>
    <col width="19.8" customWidth="1" min="12" max="12"/>
    <col width="30.8" customWidth="1" min="13" max="13"/>
  </cols>
  <sheetData>
    <row r="1">
      <c r="A1" s="3" t="inlineStr">
        <is>
          <t>##var</t>
        </is>
      </c>
      <c r="B1" s="3" t="inlineStr">
        <is>
          <t>角色等级和波次</t>
        </is>
      </c>
      <c r="C1" s="3" t="inlineStr">
        <is>
          <t>时间点_30s</t>
        </is>
      </c>
      <c r="D1" s="3" t="inlineStr">
        <is>
          <t>阵容</t>
        </is>
      </c>
      <c r="E1" s="3" t="inlineStr">
        <is>
          <t>选技能次数</t>
        </is>
      </c>
      <c r="F1" s="3" t="inlineStr">
        <is>
          <t>总次数</t>
        </is>
      </c>
      <c r="G1" s="3" t="inlineStr">
        <is>
          <t>消除倍率</t>
        </is>
      </c>
      <c r="H1" s="3" t="inlineStr">
        <is>
          <t>每块小兵增加期望值</t>
        </is>
      </c>
      <c r="I1" s="3" t="inlineStr">
        <is>
          <t>初始战力</t>
        </is>
      </c>
      <c r="J1" s="3" t="inlineStr">
        <is>
          <t>当前阵容战力</t>
        </is>
      </c>
      <c r="K1" s="3" t="inlineStr">
        <is>
          <t>战力产出效率</t>
        </is>
      </c>
      <c r="L1" s="3" t="inlineStr">
        <is>
          <t>每波怪物总战力</t>
        </is>
      </c>
      <c r="M1" s="3" t="inlineStr">
        <is>
          <t>平均相当于多少个上阵角色</t>
        </is>
      </c>
    </row>
    <row r="2">
      <c r="A2" s="3" t="inlineStr">
        <is>
          <t>##type</t>
        </is>
      </c>
      <c r="B2" s="3" t="inlineStr">
        <is>
          <t>int</t>
        </is>
      </c>
      <c r="C2" s="3" t="inlineStr">
        <is>
          <t>float</t>
        </is>
      </c>
      <c r="D2" s="3" t="inlineStr">
        <is>
          <t>string</t>
        </is>
      </c>
      <c r="E2" s="3" t="inlineStr">
        <is>
          <t>int</t>
        </is>
      </c>
      <c r="F2" s="3" t="inlineStr">
        <is>
          <t>int</t>
        </is>
      </c>
      <c r="G2" s="3" t="inlineStr">
        <is>
          <t>float</t>
        </is>
      </c>
      <c r="H2" s="3" t="inlineStr">
        <is>
          <t>float</t>
        </is>
      </c>
      <c r="I2" s="3" t="inlineStr">
        <is>
          <t>float</t>
        </is>
      </c>
      <c r="J2" s="3" t="inlineStr">
        <is>
          <t>float</t>
        </is>
      </c>
      <c r="K2" s="3" t="inlineStr">
        <is>
          <t>float</t>
        </is>
      </c>
      <c r="L2" s="3" t="inlineStr">
        <is>
          <t>float</t>
        </is>
      </c>
      <c r="M2" s="3" t="inlineStr">
        <is>
          <t>float</t>
        </is>
      </c>
    </row>
    <row r="3">
      <c r="A3" s="3" t="inlineStr">
        <is>
          <t>##</t>
        </is>
      </c>
      <c r="B3" s="3" t="inlineStr">
        <is>
          <t>角色等级和波次</t>
        </is>
      </c>
      <c r="C3" s="3" t="inlineStr">
        <is>
          <t>时间点_30s</t>
        </is>
      </c>
      <c r="D3" s="3" t="inlineStr">
        <is>
          <t>阵容</t>
        </is>
      </c>
      <c r="E3" s="3" t="inlineStr">
        <is>
          <t>选技能次数</t>
        </is>
      </c>
      <c r="F3" s="3" t="inlineStr">
        <is>
          <t>总次数</t>
        </is>
      </c>
      <c r="G3" s="3" t="inlineStr">
        <is>
          <t>消除倍率</t>
        </is>
      </c>
      <c r="H3" s="3" t="inlineStr">
        <is>
          <t>每块小兵增加期望值</t>
        </is>
      </c>
      <c r="I3" s="3" t="inlineStr">
        <is>
          <t>初始战力</t>
        </is>
      </c>
      <c r="J3" s="3" t="inlineStr">
        <is>
          <t>当前阵容战力</t>
        </is>
      </c>
      <c r="K3" s="3" t="inlineStr">
        <is>
          <t>战力产出效率</t>
        </is>
      </c>
      <c r="L3" s="3" t="inlineStr">
        <is>
          <t>每波怪物总战力</t>
        </is>
      </c>
      <c r="M3" s="3" t="inlineStr">
        <is>
          <t>平均相当于多少个上阵角色</t>
        </is>
      </c>
    </row>
    <row r="4">
      <c r="B4" s="4" t="n">
        <v>701</v>
      </c>
      <c r="C4" s="4" t="n">
        <v>30</v>
      </c>
      <c r="D4" s="4" t="inlineStr">
        <is>
          <t>['弓箭手', '士兵', '弓']</t>
        </is>
      </c>
      <c r="E4" s="4" t="n">
        <v>1</v>
      </c>
      <c r="F4" s="4">
        <f>SUM($E$4:$E4)</f>
        <v/>
      </c>
      <c r="G4" s="4" t="n">
        <v>1</v>
      </c>
      <c r="H4" s="4" t="n">
        <v>0</v>
      </c>
      <c r="I4" s="4" t="n">
        <v>15368.6</v>
      </c>
      <c r="J4" s="4" t="n">
        <v>16266.4</v>
      </c>
      <c r="K4" s="4" t="n">
        <v>2309</v>
      </c>
      <c r="L4" s="4">
        <f>$K$4*30</f>
        <v/>
      </c>
      <c r="M4" s="4">
        <f>ROUND($L$4/($J$4/3),0)</f>
        <v/>
      </c>
    </row>
    <row r="5">
      <c r="B5" s="4" t="n">
        <v>702</v>
      </c>
      <c r="C5" s="4" t="n">
        <v>60</v>
      </c>
      <c r="D5" s="4" t="inlineStr">
        <is>
          <t>['弓箭手', '士兵', '弓']</t>
        </is>
      </c>
      <c r="E5" s="4" t="n">
        <v>2</v>
      </c>
      <c r="F5" s="4">
        <f>SUM($E$4:$E5)</f>
        <v/>
      </c>
      <c r="G5" s="4" t="n">
        <v>1.1</v>
      </c>
      <c r="H5" s="4" t="n">
        <v>0.1</v>
      </c>
      <c r="I5" s="4" t="n">
        <v>15368.6</v>
      </c>
      <c r="J5" s="4" t="n">
        <v>18107.2</v>
      </c>
      <c r="K5" s="4" t="n">
        <v>2901.8</v>
      </c>
      <c r="L5" s="4">
        <f>$K$5*30</f>
        <v/>
      </c>
      <c r="M5" s="4">
        <f>ROUND($L$5/($J$5/3),0)</f>
        <v/>
      </c>
    </row>
    <row r="6">
      <c r="B6" s="4" t="n">
        <v>703</v>
      </c>
      <c r="C6" s="4" t="n">
        <v>90</v>
      </c>
      <c r="D6" s="4" t="inlineStr">
        <is>
          <t>['弓箭手', '士兵', '弓']</t>
        </is>
      </c>
      <c r="E6" s="4" t="n">
        <v>1</v>
      </c>
      <c r="F6" s="4">
        <f>SUM($E$4:$E6)</f>
        <v/>
      </c>
      <c r="G6" s="4" t="n">
        <v>1.1</v>
      </c>
      <c r="H6" s="4" t="n">
        <v>0.2</v>
      </c>
      <c r="I6" s="4" t="n">
        <v>15368.6</v>
      </c>
      <c r="J6" s="4" t="n">
        <v>19050.3</v>
      </c>
      <c r="K6" s="4" t="n">
        <v>3238.1</v>
      </c>
      <c r="L6" s="4">
        <f>$K$6*30</f>
        <v/>
      </c>
      <c r="M6" s="4">
        <f>ROUND($L$6/($J$6/3),0)</f>
        <v/>
      </c>
    </row>
    <row r="7">
      <c r="B7" s="4" t="n">
        <v>704</v>
      </c>
      <c r="C7" s="4" t="n">
        <v>120</v>
      </c>
      <c r="D7" s="4" t="inlineStr">
        <is>
          <t>['弓箭手', '士兵', '弓']</t>
        </is>
      </c>
      <c r="E7" s="4" t="n">
        <v>1</v>
      </c>
      <c r="F7" s="4">
        <f>SUM($E$4:$E7)</f>
        <v/>
      </c>
      <c r="G7" s="4" t="n">
        <v>1.1</v>
      </c>
      <c r="H7" s="4" t="n">
        <v>0.2</v>
      </c>
      <c r="I7" s="4" t="n">
        <v>15368.6</v>
      </c>
      <c r="J7" s="4" t="n">
        <v>20008.6</v>
      </c>
      <c r="K7" s="4" t="n">
        <v>3603.5</v>
      </c>
      <c r="L7" s="4">
        <f>$K$7*30</f>
        <v/>
      </c>
      <c r="M7" s="4">
        <f>ROUND($L$7/($J$7/3),0)</f>
        <v/>
      </c>
    </row>
    <row r="8">
      <c r="B8" s="4" t="n">
        <v>705</v>
      </c>
      <c r="C8" s="4" t="n">
        <v>150</v>
      </c>
      <c r="D8" s="4" t="inlineStr">
        <is>
          <t>['弓箭手', '士兵', '弓']</t>
        </is>
      </c>
      <c r="E8" s="4" t="n">
        <v>1</v>
      </c>
      <c r="F8" s="4">
        <f>SUM($E$4:$E8)</f>
        <v/>
      </c>
      <c r="G8" s="4" t="n">
        <v>1.2</v>
      </c>
      <c r="H8" s="4" t="n">
        <v>0.2</v>
      </c>
      <c r="I8" s="4" t="n">
        <v>15368.6</v>
      </c>
      <c r="J8" s="4" t="n">
        <v>20981.9</v>
      </c>
      <c r="K8" s="4" t="n">
        <v>3999.6</v>
      </c>
      <c r="L8" s="4">
        <f>$K$8*30</f>
        <v/>
      </c>
      <c r="M8" s="4">
        <f>ROUND($L$8/($J$8/3),0)</f>
        <v/>
      </c>
    </row>
    <row r="9">
      <c r="B9" s="4" t="n">
        <v>706</v>
      </c>
      <c r="C9" s="4" t="n">
        <v>180</v>
      </c>
      <c r="D9" s="4" t="inlineStr">
        <is>
          <t>['弓箭手', '士兵', '弓']</t>
        </is>
      </c>
      <c r="E9" s="4" t="n">
        <v>1</v>
      </c>
      <c r="F9" s="4">
        <f>SUM($E$4:$E9)</f>
        <v/>
      </c>
      <c r="G9" s="4" t="n">
        <v>1.2</v>
      </c>
      <c r="H9" s="4" t="n">
        <v>0.3</v>
      </c>
      <c r="I9" s="4" t="n">
        <v>15368.6</v>
      </c>
      <c r="J9" s="4" t="n">
        <v>21970.4</v>
      </c>
      <c r="K9" s="4" t="n">
        <v>4428.7</v>
      </c>
      <c r="L9" s="4">
        <f>$K$9*30</f>
        <v/>
      </c>
      <c r="M9" s="4">
        <f>ROUND($L$9/($J$9/3),0)</f>
        <v/>
      </c>
    </row>
    <row r="10">
      <c r="B10" s="4" t="n">
        <v>707</v>
      </c>
      <c r="C10" s="4" t="n">
        <v>210</v>
      </c>
      <c r="D10" s="4" t="inlineStr">
        <is>
          <t>['弓箭手', '士兵', '弓']</t>
        </is>
      </c>
      <c r="E10" s="4" t="n">
        <v>2</v>
      </c>
      <c r="F10" s="4">
        <f>SUM($E$4:$E10)</f>
        <v/>
      </c>
      <c r="G10" s="4" t="n">
        <v>1.3</v>
      </c>
      <c r="H10" s="4" t="n">
        <v>0.3</v>
      </c>
      <c r="I10" s="4" t="n">
        <v>15368.6</v>
      </c>
      <c r="J10" s="4" t="n">
        <v>23992.8</v>
      </c>
      <c r="K10" s="4" t="n">
        <v>5393.8</v>
      </c>
      <c r="L10" s="4">
        <f>$K$10*30</f>
        <v/>
      </c>
      <c r="M10" s="4">
        <f>ROUND($L$10/($J$10/3),0)</f>
        <v/>
      </c>
    </row>
    <row r="11">
      <c r="B11" s="4" t="n">
        <v>708</v>
      </c>
      <c r="C11" s="4" t="n">
        <v>240</v>
      </c>
      <c r="D11" s="4" t="inlineStr">
        <is>
          <t>['弓箭手', '士兵', '弓']</t>
        </is>
      </c>
      <c r="E11" s="4" t="n">
        <v>1</v>
      </c>
      <c r="F11" s="4">
        <f>SUM($E$4:$E11)</f>
        <v/>
      </c>
      <c r="G11" s="4" t="n">
        <v>1.3</v>
      </c>
      <c r="H11" s="4" t="n">
        <v>0.4</v>
      </c>
      <c r="I11" s="4" t="n">
        <v>15368.6</v>
      </c>
      <c r="J11" s="4" t="n">
        <v>25026.7</v>
      </c>
      <c r="K11" s="4" t="n">
        <v>5934.4</v>
      </c>
      <c r="L11" s="4">
        <f>$K$11*30</f>
        <v/>
      </c>
      <c r="M11" s="4">
        <f>ROUND($L$11/($J$11/3),0)</f>
        <v/>
      </c>
    </row>
    <row r="12">
      <c r="B12" s="4" t="n">
        <v>709</v>
      </c>
      <c r="C12" s="4" t="n">
        <v>270</v>
      </c>
      <c r="D12" s="4" t="inlineStr">
        <is>
          <t>['弓箭手', '士兵', '弓']</t>
        </is>
      </c>
      <c r="E12" s="4" t="n">
        <v>1</v>
      </c>
      <c r="F12" s="4">
        <f>SUM($E$4:$E12)</f>
        <v/>
      </c>
      <c r="G12" s="4" t="n">
        <v>1.3</v>
      </c>
      <c r="H12" s="4" t="n">
        <v>0.4</v>
      </c>
      <c r="I12" s="4" t="n">
        <v>15368.6</v>
      </c>
      <c r="J12" s="4" t="n">
        <v>26075.7</v>
      </c>
      <c r="K12" s="4" t="n">
        <v>6517</v>
      </c>
      <c r="L12" s="4">
        <f>$K$12*30</f>
        <v/>
      </c>
      <c r="M12" s="4">
        <f>ROUND($L$12/($J$12/3),0)</f>
        <v/>
      </c>
    </row>
    <row r="13">
      <c r="B13" s="4" t="n">
        <v>710</v>
      </c>
      <c r="C13" s="4" t="n">
        <v>300</v>
      </c>
      <c r="D13" s="4" t="inlineStr">
        <is>
          <t>['弓箭手', '士兵', '弓']</t>
        </is>
      </c>
      <c r="E13" s="4" t="n">
        <v>1</v>
      </c>
      <c r="F13" s="4">
        <f>SUM($E$4:$E13)</f>
        <v/>
      </c>
      <c r="G13" s="4" t="n">
        <v>1.4</v>
      </c>
      <c r="H13" s="4" t="n">
        <v>0.5</v>
      </c>
      <c r="I13" s="4" t="n">
        <v>15368.6</v>
      </c>
      <c r="J13" s="4" t="n">
        <v>27139.8</v>
      </c>
      <c r="K13" s="4" t="n">
        <v>7144.1</v>
      </c>
      <c r="L13" s="4">
        <f>$K$13*30</f>
        <v/>
      </c>
      <c r="M13" s="4">
        <f>ROUND($L$13/($J$13/3),0)</f>
        <v/>
      </c>
    </row>
    <row r="14">
      <c r="B14" s="4" t="n">
        <v>711</v>
      </c>
      <c r="C14" s="4" t="n">
        <v>330</v>
      </c>
      <c r="D14" s="4" t="inlineStr">
        <is>
          <t>['弓箭手', '士兵', '弓']</t>
        </is>
      </c>
      <c r="E14" s="4" t="n">
        <v>1</v>
      </c>
      <c r="F14" s="4">
        <f>SUM($E$4:$E14)</f>
        <v/>
      </c>
      <c r="G14" s="4" t="n">
        <v>1.4</v>
      </c>
      <c r="H14" s="4" t="n">
        <v>0.5</v>
      </c>
      <c r="I14" s="4" t="n">
        <v>15368.6</v>
      </c>
      <c r="J14" s="4" t="n">
        <v>28219.1</v>
      </c>
      <c r="K14" s="4" t="n">
        <v>7818.3</v>
      </c>
      <c r="L14" s="4">
        <f>$K$14*30</f>
        <v/>
      </c>
      <c r="M14" s="4">
        <f>ROUND($L$14/($J$14/3),0)</f>
        <v/>
      </c>
    </row>
    <row r="15">
      <c r="B15" s="4" t="n">
        <v>712</v>
      </c>
      <c r="C15" s="4" t="n">
        <v>360</v>
      </c>
      <c r="D15" s="4" t="inlineStr">
        <is>
          <t>['弓箭手', '士兵', '弓']</t>
        </is>
      </c>
      <c r="E15" s="4" t="n">
        <v>1</v>
      </c>
      <c r="F15" s="4">
        <f>SUM($E$4:$E15)</f>
        <v/>
      </c>
      <c r="G15" s="4" t="n">
        <v>1.4</v>
      </c>
      <c r="H15" s="4" t="n">
        <v>0.5</v>
      </c>
      <c r="I15" s="4" t="n">
        <v>15368.6</v>
      </c>
      <c r="J15" s="4" t="n">
        <v>29313.5</v>
      </c>
      <c r="K15" s="4" t="n">
        <v>8542.700000000001</v>
      </c>
      <c r="L15" s="4">
        <f>$K$15*30</f>
        <v/>
      </c>
      <c r="M15" s="4">
        <f>ROUND($L$15/($J$15/3),0)</f>
        <v/>
      </c>
    </row>
    <row r="16">
      <c r="B16" s="4" t="n">
        <v>713</v>
      </c>
      <c r="C16" s="4" t="n">
        <v>390</v>
      </c>
      <c r="D16" s="4" t="inlineStr">
        <is>
          <t>['弓箭手', '士兵', '弓']</t>
        </is>
      </c>
      <c r="E16" s="4" t="n">
        <v>1</v>
      </c>
      <c r="F16" s="4">
        <f>SUM($E$4:$E16)</f>
        <v/>
      </c>
      <c r="G16" s="4" t="n">
        <v>1.5</v>
      </c>
      <c r="H16" s="4" t="n">
        <v>0.6</v>
      </c>
      <c r="I16" s="4" t="n">
        <v>15368.6</v>
      </c>
      <c r="J16" s="4" t="n">
        <v>30423</v>
      </c>
      <c r="K16" s="4" t="n">
        <v>9320</v>
      </c>
      <c r="L16" s="4">
        <f>$K$16*30</f>
        <v/>
      </c>
      <c r="M16" s="4">
        <f>ROUND($L$16/($J$16/3),0)</f>
        <v/>
      </c>
    </row>
    <row r="17">
      <c r="B17" s="4" t="n">
        <v>714</v>
      </c>
      <c r="C17" s="4" t="n">
        <v>420</v>
      </c>
      <c r="D17" s="4" t="inlineStr">
        <is>
          <t>['弓箭手', '士兵', '弓']</t>
        </is>
      </c>
      <c r="E17" s="4" t="n">
        <v>1</v>
      </c>
      <c r="F17" s="4">
        <f>SUM($E$4:$E17)</f>
        <v/>
      </c>
      <c r="G17" s="4" t="n">
        <v>1.5</v>
      </c>
      <c r="H17" s="4" t="n">
        <v>0.6</v>
      </c>
      <c r="I17" s="4" t="n">
        <v>15368.6</v>
      </c>
      <c r="J17" s="4" t="n">
        <v>31547.7</v>
      </c>
      <c r="K17" s="4" t="n">
        <v>10153.6</v>
      </c>
      <c r="L17" s="4">
        <f>$K$17*30</f>
        <v/>
      </c>
      <c r="M17" s="4">
        <f>ROUND($L$17/($J$17/3),0)</f>
        <v/>
      </c>
    </row>
    <row r="18">
      <c r="B18" s="4" t="n">
        <v>715</v>
      </c>
      <c r="C18" s="4" t="n">
        <v>450</v>
      </c>
      <c r="D18" s="4" t="inlineStr">
        <is>
          <t>['弓箭手', '士兵', '弓']</t>
        </is>
      </c>
      <c r="E18" s="4" t="n">
        <v>1</v>
      </c>
      <c r="F18" s="4">
        <f>SUM($E$4:$E18)</f>
        <v/>
      </c>
      <c r="G18" s="4" t="n">
        <v>1.5</v>
      </c>
      <c r="H18" s="4" t="n">
        <v>0.6</v>
      </c>
      <c r="I18" s="4" t="n">
        <v>15368.6</v>
      </c>
      <c r="J18" s="4" t="n">
        <v>32687.4</v>
      </c>
      <c r="K18" s="4" t="n">
        <v>11046.6</v>
      </c>
      <c r="L18" s="4">
        <f>$K$18*30</f>
        <v/>
      </c>
      <c r="M18" s="4">
        <f>ROUND($L$18/($J$18/3),0)</f>
        <v/>
      </c>
    </row>
    <row r="19">
      <c r="B19" s="4" t="n">
        <v>716</v>
      </c>
      <c r="C19" s="4" t="n">
        <v>480</v>
      </c>
      <c r="D19" s="4" t="inlineStr">
        <is>
          <t>['弓箭手', '士兵', '弓']</t>
        </is>
      </c>
      <c r="E19" s="4" t="n">
        <v>1</v>
      </c>
      <c r="F19" s="4">
        <f>SUM($E$4:$E19)</f>
        <v/>
      </c>
      <c r="G19" s="4" t="n">
        <v>1.6</v>
      </c>
      <c r="H19" s="4" t="n">
        <v>0.7</v>
      </c>
      <c r="I19" s="4" t="n">
        <v>15368.6</v>
      </c>
      <c r="J19" s="4" t="n">
        <v>33842.3</v>
      </c>
      <c r="K19" s="4" t="n">
        <v>12002.6</v>
      </c>
      <c r="L19" s="4">
        <f>$K$19*30</f>
        <v/>
      </c>
      <c r="M19" s="4">
        <f>ROUND($L$19/($J$19/3),0)</f>
        <v/>
      </c>
    </row>
    <row r="20">
      <c r="B20" s="4" t="n">
        <v>717</v>
      </c>
      <c r="C20" s="4" t="n">
        <v>510</v>
      </c>
      <c r="D20" s="4" t="inlineStr">
        <is>
          <t>['弓箭手', '士兵', '弓']</t>
        </is>
      </c>
      <c r="E20" s="4" t="n">
        <v>0</v>
      </c>
      <c r="F20" s="4">
        <f>SUM($E$4:$E20)</f>
        <v/>
      </c>
      <c r="G20" s="4" t="n">
        <v>1.6</v>
      </c>
      <c r="H20" s="4" t="n">
        <v>0.7</v>
      </c>
      <c r="I20" s="4" t="n">
        <v>15368.6</v>
      </c>
      <c r="J20" s="4" t="n">
        <v>33842.3</v>
      </c>
      <c r="K20" s="4" t="n">
        <v>12002.6</v>
      </c>
      <c r="L20" s="4">
        <f>$K$20*30</f>
        <v/>
      </c>
      <c r="M20" s="4">
        <f>ROUND($L$20/($J$20/3),0)</f>
        <v/>
      </c>
    </row>
    <row r="21">
      <c r="B21" s="4" t="n">
        <v>718</v>
      </c>
      <c r="C21" s="4" t="n">
        <v>540</v>
      </c>
      <c r="D21" s="4" t="inlineStr">
        <is>
          <t>['弓箭手', '士兵', '弓']</t>
        </is>
      </c>
      <c r="E21" s="4" t="n">
        <v>1</v>
      </c>
      <c r="F21" s="4">
        <f>SUM($E$4:$E21)</f>
        <v/>
      </c>
      <c r="G21" s="4" t="n">
        <v>1.6</v>
      </c>
      <c r="H21" s="4" t="n">
        <v>0.7</v>
      </c>
      <c r="I21" s="4" t="n">
        <v>15368.6</v>
      </c>
      <c r="J21" s="4" t="n">
        <v>35012.4</v>
      </c>
      <c r="K21" s="4" t="n">
        <v>13025.1</v>
      </c>
      <c r="L21" s="4">
        <f>$K$21*30</f>
        <v/>
      </c>
      <c r="M21" s="4">
        <f>ROUND($L$21/($J$21/3),0)</f>
        <v/>
      </c>
    </row>
    <row r="22">
      <c r="B22" s="4" t="n">
        <v>719</v>
      </c>
      <c r="C22" s="4" t="n">
        <v>570</v>
      </c>
      <c r="D22" s="4" t="inlineStr">
        <is>
          <t>['弓箭手', '士兵', '弓']</t>
        </is>
      </c>
      <c r="E22" s="4" t="n">
        <v>1</v>
      </c>
      <c r="F22" s="4">
        <f>SUM($E$4:$E22)</f>
        <v/>
      </c>
      <c r="G22" s="4" t="n">
        <v>1.7</v>
      </c>
      <c r="H22" s="4" t="n">
        <v>0.8</v>
      </c>
      <c r="I22" s="4" t="n">
        <v>15368.6</v>
      </c>
      <c r="J22" s="4" t="n">
        <v>36197.5</v>
      </c>
      <c r="K22" s="4" t="n">
        <v>14118.1</v>
      </c>
      <c r="L22" s="4">
        <f>$K$22*30</f>
        <v/>
      </c>
      <c r="M22" s="4">
        <f>ROUND($L$22/($J$22/3),0)</f>
        <v/>
      </c>
    </row>
    <row r="23">
      <c r="B23" s="4" t="n">
        <v>720</v>
      </c>
      <c r="C23" s="4" t="n">
        <v>600</v>
      </c>
      <c r="D23" s="4" t="inlineStr">
        <is>
          <t>['弓箭手', '士兵', '弓']</t>
        </is>
      </c>
      <c r="E23" s="4" t="n">
        <v>1</v>
      </c>
      <c r="F23" s="4">
        <f>SUM($E$4:$E23)</f>
        <v/>
      </c>
      <c r="G23" s="4" t="n">
        <v>1.7</v>
      </c>
      <c r="H23" s="4" t="n">
        <v>0.8</v>
      </c>
      <c r="I23" s="4" t="n">
        <v>15368.6</v>
      </c>
      <c r="J23" s="4" t="n">
        <v>37397.8</v>
      </c>
      <c r="K23" s="4" t="n">
        <v>15285.5</v>
      </c>
      <c r="L23" s="4">
        <f>$K$23*30</f>
        <v/>
      </c>
      <c r="M23" s="4">
        <f>ROUND($L$23/($J$23/3),0)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19.8" customWidth="1" min="2" max="2"/>
    <col width="19.8" customWidth="1" min="3" max="3"/>
    <col width="8.800000000000001" customWidth="1" min="4" max="4"/>
    <col width="15.4" customWidth="1" min="5" max="5"/>
    <col width="11" customWidth="1" min="6" max="6"/>
    <col width="13.2" customWidth="1" min="7" max="7"/>
    <col width="24.2" customWidth="1" min="8" max="8"/>
    <col width="13.2" customWidth="1" min="9" max="9"/>
    <col width="17.6" customWidth="1" min="10" max="10"/>
    <col width="17.6" customWidth="1" min="11" max="11"/>
    <col width="19.8" customWidth="1" min="12" max="12"/>
    <col width="30.8" customWidth="1" min="13" max="13"/>
  </cols>
  <sheetData>
    <row r="1">
      <c r="A1" s="3" t="inlineStr">
        <is>
          <t>##var</t>
        </is>
      </c>
      <c r="B1" s="3" t="inlineStr">
        <is>
          <t>角色等级和波次</t>
        </is>
      </c>
      <c r="C1" s="3" t="inlineStr">
        <is>
          <t>时间点_30s</t>
        </is>
      </c>
      <c r="D1" s="3" t="inlineStr">
        <is>
          <t>阵容</t>
        </is>
      </c>
      <c r="E1" s="3" t="inlineStr">
        <is>
          <t>选技能次数</t>
        </is>
      </c>
      <c r="F1" s="3" t="inlineStr">
        <is>
          <t>总次数</t>
        </is>
      </c>
      <c r="G1" s="3" t="inlineStr">
        <is>
          <t>消除倍率</t>
        </is>
      </c>
      <c r="H1" s="3" t="inlineStr">
        <is>
          <t>每块小兵增加期望值</t>
        </is>
      </c>
      <c r="I1" s="3" t="inlineStr">
        <is>
          <t>初始战力</t>
        </is>
      </c>
      <c r="J1" s="3" t="inlineStr">
        <is>
          <t>当前阵容战力</t>
        </is>
      </c>
      <c r="K1" s="3" t="inlineStr">
        <is>
          <t>战力产出效率</t>
        </is>
      </c>
      <c r="L1" s="3" t="inlineStr">
        <is>
          <t>每波怪物总战力</t>
        </is>
      </c>
      <c r="M1" s="3" t="inlineStr">
        <is>
          <t>平均相当于多少个上阵角色</t>
        </is>
      </c>
    </row>
    <row r="2">
      <c r="A2" s="3" t="inlineStr">
        <is>
          <t>##type</t>
        </is>
      </c>
      <c r="B2" s="3" t="inlineStr">
        <is>
          <t>int</t>
        </is>
      </c>
      <c r="C2" s="3" t="inlineStr">
        <is>
          <t>float</t>
        </is>
      </c>
      <c r="D2" s="3" t="inlineStr">
        <is>
          <t>string</t>
        </is>
      </c>
      <c r="E2" s="3" t="inlineStr">
        <is>
          <t>int</t>
        </is>
      </c>
      <c r="F2" s="3" t="inlineStr">
        <is>
          <t>int</t>
        </is>
      </c>
      <c r="G2" s="3" t="inlineStr">
        <is>
          <t>float</t>
        </is>
      </c>
      <c r="H2" s="3" t="inlineStr">
        <is>
          <t>float</t>
        </is>
      </c>
      <c r="I2" s="3" t="inlineStr">
        <is>
          <t>float</t>
        </is>
      </c>
      <c r="J2" s="3" t="inlineStr">
        <is>
          <t>float</t>
        </is>
      </c>
      <c r="K2" s="3" t="inlineStr">
        <is>
          <t>float</t>
        </is>
      </c>
      <c r="L2" s="3" t="inlineStr">
        <is>
          <t>float</t>
        </is>
      </c>
      <c r="M2" s="3" t="inlineStr">
        <is>
          <t>float</t>
        </is>
      </c>
    </row>
    <row r="3">
      <c r="A3" s="3" t="inlineStr">
        <is>
          <t>##</t>
        </is>
      </c>
      <c r="B3" s="3" t="inlineStr">
        <is>
          <t>角色等级和波次</t>
        </is>
      </c>
      <c r="C3" s="3" t="inlineStr">
        <is>
          <t>时间点_30s</t>
        </is>
      </c>
      <c r="D3" s="3" t="inlineStr">
        <is>
          <t>阵容</t>
        </is>
      </c>
      <c r="E3" s="3" t="inlineStr">
        <is>
          <t>选技能次数</t>
        </is>
      </c>
      <c r="F3" s="3" t="inlineStr">
        <is>
          <t>总次数</t>
        </is>
      </c>
      <c r="G3" s="3" t="inlineStr">
        <is>
          <t>消除倍率</t>
        </is>
      </c>
      <c r="H3" s="3" t="inlineStr">
        <is>
          <t>每块小兵增加期望值</t>
        </is>
      </c>
      <c r="I3" s="3" t="inlineStr">
        <is>
          <t>初始战力</t>
        </is>
      </c>
      <c r="J3" s="3" t="inlineStr">
        <is>
          <t>当前阵容战力</t>
        </is>
      </c>
      <c r="K3" s="3" t="inlineStr">
        <is>
          <t>战力产出效率</t>
        </is>
      </c>
      <c r="L3" s="3" t="inlineStr">
        <is>
          <t>每波怪物总战力</t>
        </is>
      </c>
      <c r="M3" s="3" t="inlineStr">
        <is>
          <t>平均相当于多少个上阵角色</t>
        </is>
      </c>
    </row>
    <row r="4">
      <c r="B4" s="4" t="n">
        <v>601</v>
      </c>
      <c r="C4" s="4" t="n">
        <v>30</v>
      </c>
      <c r="D4" s="4" t="inlineStr">
        <is>
          <t>['弓箭手', '士兵', '弓']</t>
        </is>
      </c>
      <c r="E4" s="4" t="n">
        <v>1</v>
      </c>
      <c r="F4" s="4">
        <f>SUM($E$4:$E4)</f>
        <v/>
      </c>
      <c r="G4" s="4" t="n">
        <v>1</v>
      </c>
      <c r="H4" s="4" t="n">
        <v>0</v>
      </c>
      <c r="I4" s="4" t="n">
        <v>10434.5</v>
      </c>
      <c r="J4" s="4" t="n">
        <v>11036.2</v>
      </c>
      <c r="K4" s="4" t="n">
        <v>1566.6</v>
      </c>
      <c r="L4" s="4">
        <f>$K$4*30</f>
        <v/>
      </c>
      <c r="M4" s="4">
        <f>ROUND($L$4/($J$4/3),0)</f>
        <v/>
      </c>
    </row>
    <row r="5">
      <c r="B5" s="4" t="n">
        <v>602</v>
      </c>
      <c r="C5" s="4" t="n">
        <v>60</v>
      </c>
      <c r="D5" s="4" t="inlineStr">
        <is>
          <t>['弓箭手', '士兵', '弓']</t>
        </is>
      </c>
      <c r="E5" s="4" t="n">
        <v>2</v>
      </c>
      <c r="F5" s="4">
        <f>SUM($E$4:$E5)</f>
        <v/>
      </c>
      <c r="G5" s="4" t="n">
        <v>1.1</v>
      </c>
      <c r="H5" s="4" t="n">
        <v>0.1</v>
      </c>
      <c r="I5" s="4" t="n">
        <v>10434.5</v>
      </c>
      <c r="J5" s="4" t="n">
        <v>12270</v>
      </c>
      <c r="K5" s="4" t="n">
        <v>1966.4</v>
      </c>
      <c r="L5" s="4">
        <f>$K$5*30</f>
        <v/>
      </c>
      <c r="M5" s="4">
        <f>ROUND($L$5/($J$5/3),0)</f>
        <v/>
      </c>
    </row>
    <row r="6">
      <c r="B6" s="4" t="n">
        <v>603</v>
      </c>
      <c r="C6" s="4" t="n">
        <v>90</v>
      </c>
      <c r="D6" s="4" t="inlineStr">
        <is>
          <t>['弓箭手', '士兵', '弓']</t>
        </is>
      </c>
      <c r="E6" s="4" t="n">
        <v>1</v>
      </c>
      <c r="F6" s="4">
        <f>SUM($E$4:$E6)</f>
        <v/>
      </c>
      <c r="G6" s="4" t="n">
        <v>1.1</v>
      </c>
      <c r="H6" s="4" t="n">
        <v>0.2</v>
      </c>
      <c r="I6" s="4" t="n">
        <v>10434.5</v>
      </c>
      <c r="J6" s="4" t="n">
        <v>12902</v>
      </c>
      <c r="K6" s="4" t="n">
        <v>2193.1</v>
      </c>
      <c r="L6" s="4">
        <f>$K$6*30</f>
        <v/>
      </c>
      <c r="M6" s="4">
        <f>ROUND($L$6/($J$6/3),0)</f>
        <v/>
      </c>
    </row>
    <row r="7">
      <c r="B7" s="4" t="n">
        <v>604</v>
      </c>
      <c r="C7" s="4" t="n">
        <v>120</v>
      </c>
      <c r="D7" s="4" t="inlineStr">
        <is>
          <t>['弓箭手', '士兵', '弓']</t>
        </is>
      </c>
      <c r="E7" s="4" t="n">
        <v>1</v>
      </c>
      <c r="F7" s="4">
        <f>SUM($E$4:$E7)</f>
        <v/>
      </c>
      <c r="G7" s="4" t="n">
        <v>1.1</v>
      </c>
      <c r="H7" s="4" t="n">
        <v>0.2</v>
      </c>
      <c r="I7" s="4" t="n">
        <v>10434.5</v>
      </c>
      <c r="J7" s="4" t="n">
        <v>13544.2</v>
      </c>
      <c r="K7" s="4" t="n">
        <v>2439.3</v>
      </c>
      <c r="L7" s="4">
        <f>$K$7*30</f>
        <v/>
      </c>
      <c r="M7" s="4">
        <f>ROUND($L$7/($J$7/3),0)</f>
        <v/>
      </c>
    </row>
    <row r="8">
      <c r="B8" s="4" t="n">
        <v>605</v>
      </c>
      <c r="C8" s="4" t="n">
        <v>150</v>
      </c>
      <c r="D8" s="4" t="inlineStr">
        <is>
          <t>['弓箭手', '士兵', '弓']</t>
        </is>
      </c>
      <c r="E8" s="4" t="n">
        <v>1</v>
      </c>
      <c r="F8" s="4">
        <f>SUM($E$4:$E8)</f>
        <v/>
      </c>
      <c r="G8" s="4" t="n">
        <v>1.2</v>
      </c>
      <c r="H8" s="4" t="n">
        <v>0.2</v>
      </c>
      <c r="I8" s="4" t="n">
        <v>10434.5</v>
      </c>
      <c r="J8" s="4" t="n">
        <v>14196.5</v>
      </c>
      <c r="K8" s="4" t="n">
        <v>2706.2</v>
      </c>
      <c r="L8" s="4">
        <f>$K$8*30</f>
        <v/>
      </c>
      <c r="M8" s="4">
        <f>ROUND($L$8/($J$8/3),0)</f>
        <v/>
      </c>
    </row>
    <row r="9">
      <c r="B9" s="4" t="n">
        <v>606</v>
      </c>
      <c r="C9" s="4" t="n">
        <v>180</v>
      </c>
      <c r="D9" s="4" t="inlineStr">
        <is>
          <t>['弓箭手', '士兵', '弓']</t>
        </is>
      </c>
      <c r="E9" s="4" t="n">
        <v>1</v>
      </c>
      <c r="F9" s="4">
        <f>SUM($E$4:$E9)</f>
        <v/>
      </c>
      <c r="G9" s="4" t="n">
        <v>1.2</v>
      </c>
      <c r="H9" s="4" t="n">
        <v>0.3</v>
      </c>
      <c r="I9" s="4" t="n">
        <v>10434.5</v>
      </c>
      <c r="J9" s="4" t="n">
        <v>14858.9</v>
      </c>
      <c r="K9" s="4" t="n">
        <v>2995.2</v>
      </c>
      <c r="L9" s="4">
        <f>$K$9*30</f>
        <v/>
      </c>
      <c r="M9" s="4">
        <f>ROUND($L$9/($J$9/3),0)</f>
        <v/>
      </c>
    </row>
    <row r="10">
      <c r="B10" s="4" t="n">
        <v>607</v>
      </c>
      <c r="C10" s="4" t="n">
        <v>210</v>
      </c>
      <c r="D10" s="4" t="inlineStr">
        <is>
          <t>['弓箭手', '士兵', '弓']</t>
        </is>
      </c>
      <c r="E10" s="4" t="n">
        <v>2</v>
      </c>
      <c r="F10" s="4">
        <f>SUM($E$4:$E10)</f>
        <v/>
      </c>
      <c r="G10" s="4" t="n">
        <v>1.3</v>
      </c>
      <c r="H10" s="4" t="n">
        <v>0.3</v>
      </c>
      <c r="I10" s="4" t="n">
        <v>10434.5</v>
      </c>
      <c r="J10" s="4" t="n">
        <v>16214</v>
      </c>
      <c r="K10" s="4" t="n">
        <v>3645.1</v>
      </c>
      <c r="L10" s="4">
        <f>$K$10*30</f>
        <v/>
      </c>
      <c r="M10" s="4">
        <f>ROUND($L$10/($J$10/3),0)</f>
        <v/>
      </c>
    </row>
    <row r="11">
      <c r="B11" s="4" t="n">
        <v>608</v>
      </c>
      <c r="C11" s="4" t="n">
        <v>240</v>
      </c>
      <c r="D11" s="4" t="inlineStr">
        <is>
          <t>['弓箭手', '士兵', '弓']</t>
        </is>
      </c>
      <c r="E11" s="4" t="n">
        <v>1</v>
      </c>
      <c r="F11" s="4">
        <f>SUM($E$4:$E11)</f>
        <v/>
      </c>
      <c r="G11" s="4" t="n">
        <v>1.3</v>
      </c>
      <c r="H11" s="4" t="n">
        <v>0.4</v>
      </c>
      <c r="I11" s="4" t="n">
        <v>10434.5</v>
      </c>
      <c r="J11" s="4" t="n">
        <v>16906.7</v>
      </c>
      <c r="K11" s="4" t="n">
        <v>4009</v>
      </c>
      <c r="L11" s="4">
        <f>$K$11*30</f>
        <v/>
      </c>
      <c r="M11" s="4">
        <f>ROUND($L$11/($J$11/3),0)</f>
        <v/>
      </c>
    </row>
    <row r="12">
      <c r="B12" s="4" t="n">
        <v>609</v>
      </c>
      <c r="C12" s="4" t="n">
        <v>270</v>
      </c>
      <c r="D12" s="4" t="inlineStr">
        <is>
          <t>['弓箭手', '士兵', '弓']</t>
        </is>
      </c>
      <c r="E12" s="4" t="n">
        <v>1</v>
      </c>
      <c r="F12" s="4">
        <f>SUM($E$4:$E12)</f>
        <v/>
      </c>
      <c r="G12" s="4" t="n">
        <v>1.3</v>
      </c>
      <c r="H12" s="4" t="n">
        <v>0.4</v>
      </c>
      <c r="I12" s="4" t="n">
        <v>10434.5</v>
      </c>
      <c r="J12" s="4" t="n">
        <v>17609.5</v>
      </c>
      <c r="K12" s="4" t="n">
        <v>4401.1</v>
      </c>
      <c r="L12" s="4">
        <f>$K$12*30</f>
        <v/>
      </c>
      <c r="M12" s="4">
        <f>ROUND($L$12/($J$12/3),0)</f>
        <v/>
      </c>
    </row>
    <row r="13">
      <c r="B13" s="4" t="n">
        <v>610</v>
      </c>
      <c r="C13" s="4" t="n">
        <v>300</v>
      </c>
      <c r="D13" s="4" t="inlineStr">
        <is>
          <t>['弓箭手', '士兵', '弓']</t>
        </is>
      </c>
      <c r="E13" s="4" t="n">
        <v>1</v>
      </c>
      <c r="F13" s="4">
        <f>SUM($E$4:$E13)</f>
        <v/>
      </c>
      <c r="G13" s="4" t="n">
        <v>1.4</v>
      </c>
      <c r="H13" s="4" t="n">
        <v>0.5</v>
      </c>
      <c r="I13" s="4" t="n">
        <v>10434.5</v>
      </c>
      <c r="J13" s="4" t="n">
        <v>18322.5</v>
      </c>
      <c r="K13" s="4" t="n">
        <v>4823.1</v>
      </c>
      <c r="L13" s="4">
        <f>$K$13*30</f>
        <v/>
      </c>
      <c r="M13" s="4">
        <f>ROUND($L$13/($J$13/3),0)</f>
        <v/>
      </c>
    </row>
    <row r="14">
      <c r="B14" s="4" t="n">
        <v>611</v>
      </c>
      <c r="C14" s="4" t="n">
        <v>330</v>
      </c>
      <c r="D14" s="4" t="inlineStr">
        <is>
          <t>['弓箭手', '士兵', '弓']</t>
        </is>
      </c>
      <c r="E14" s="4" t="n">
        <v>1</v>
      </c>
      <c r="F14" s="4">
        <f>SUM($E$4:$E14)</f>
        <v/>
      </c>
      <c r="G14" s="4" t="n">
        <v>1.4</v>
      </c>
      <c r="H14" s="4" t="n">
        <v>0.5</v>
      </c>
      <c r="I14" s="4" t="n">
        <v>10434.5</v>
      </c>
      <c r="J14" s="4" t="n">
        <v>19045.5</v>
      </c>
      <c r="K14" s="4" t="n">
        <v>5276.7</v>
      </c>
      <c r="L14" s="4">
        <f>$K$14*30</f>
        <v/>
      </c>
      <c r="M14" s="4">
        <f>ROUND($L$14/($J$14/3),0)</f>
        <v/>
      </c>
    </row>
    <row r="15">
      <c r="B15" s="4" t="n">
        <v>612</v>
      </c>
      <c r="C15" s="4" t="n">
        <v>360</v>
      </c>
      <c r="D15" s="4" t="inlineStr">
        <is>
          <t>['弓箭手', '士兵', '弓']</t>
        </is>
      </c>
      <c r="E15" s="4" t="n">
        <v>1</v>
      </c>
      <c r="F15" s="4">
        <f>SUM($E$4:$E15)</f>
        <v/>
      </c>
      <c r="G15" s="4" t="n">
        <v>1.4</v>
      </c>
      <c r="H15" s="4" t="n">
        <v>0.5</v>
      </c>
      <c r="I15" s="4" t="n">
        <v>10434.5</v>
      </c>
      <c r="J15" s="4" t="n">
        <v>19778.7</v>
      </c>
      <c r="K15" s="4" t="n">
        <v>5764</v>
      </c>
      <c r="L15" s="4">
        <f>$K$15*30</f>
        <v/>
      </c>
      <c r="M15" s="4">
        <f>ROUND($L$15/($J$15/3),0)</f>
        <v/>
      </c>
    </row>
    <row r="16">
      <c r="B16" s="4" t="n">
        <v>613</v>
      </c>
      <c r="C16" s="4" t="n">
        <v>390</v>
      </c>
      <c r="D16" s="4" t="inlineStr">
        <is>
          <t>['弓箭手', '士兵', '弓']</t>
        </is>
      </c>
      <c r="E16" s="4" t="n">
        <v>1</v>
      </c>
      <c r="F16" s="4">
        <f>SUM($E$4:$E16)</f>
        <v/>
      </c>
      <c r="G16" s="4" t="n">
        <v>1.5</v>
      </c>
      <c r="H16" s="4" t="n">
        <v>0.6</v>
      </c>
      <c r="I16" s="4" t="n">
        <v>10434.5</v>
      </c>
      <c r="J16" s="4" t="n">
        <v>20522</v>
      </c>
      <c r="K16" s="4" t="n">
        <v>6286.9</v>
      </c>
      <c r="L16" s="4">
        <f>$K$16*30</f>
        <v/>
      </c>
      <c r="M16" s="4">
        <f>ROUND($L$16/($J$16/3),0)</f>
        <v/>
      </c>
    </row>
    <row r="17">
      <c r="B17" s="4" t="n">
        <v>614</v>
      </c>
      <c r="C17" s="4" t="n">
        <v>420</v>
      </c>
      <c r="D17" s="4" t="inlineStr">
        <is>
          <t>['弓箭手', '士兵', '弓']</t>
        </is>
      </c>
      <c r="E17" s="4" t="n">
        <v>1</v>
      </c>
      <c r="F17" s="4">
        <f>SUM($E$4:$E17)</f>
        <v/>
      </c>
      <c r="G17" s="4" t="n">
        <v>1.5</v>
      </c>
      <c r="H17" s="4" t="n">
        <v>0.6</v>
      </c>
      <c r="I17" s="4" t="n">
        <v>10434.5</v>
      </c>
      <c r="J17" s="4" t="n">
        <v>21275.3</v>
      </c>
      <c r="K17" s="4" t="n">
        <v>6847.4</v>
      </c>
      <c r="L17" s="4">
        <f>$K$17*30</f>
        <v/>
      </c>
      <c r="M17" s="4">
        <f>ROUND($L$17/($J$17/3),0)</f>
        <v/>
      </c>
    </row>
    <row r="18">
      <c r="B18" s="4" t="n">
        <v>615</v>
      </c>
      <c r="C18" s="4" t="n">
        <v>450</v>
      </c>
      <c r="D18" s="4" t="inlineStr">
        <is>
          <t>['弓箭手', '士兵', '弓']</t>
        </is>
      </c>
      <c r="E18" s="4" t="n">
        <v>1</v>
      </c>
      <c r="F18" s="4">
        <f>SUM($E$4:$E18)</f>
        <v/>
      </c>
      <c r="G18" s="4" t="n">
        <v>1.5</v>
      </c>
      <c r="H18" s="4" t="n">
        <v>0.6</v>
      </c>
      <c r="I18" s="4" t="n">
        <v>10434.5</v>
      </c>
      <c r="J18" s="4" t="n">
        <v>22038.8</v>
      </c>
      <c r="K18" s="4" t="n">
        <v>7447.9</v>
      </c>
      <c r="L18" s="4">
        <f>$K$18*30</f>
        <v/>
      </c>
      <c r="M18" s="4">
        <f>ROUND($L$18/($J$18/3),0)</f>
        <v/>
      </c>
    </row>
    <row r="19">
      <c r="B19" s="4" t="n">
        <v>616</v>
      </c>
      <c r="C19" s="4" t="n">
        <v>480</v>
      </c>
      <c r="D19" s="4" t="inlineStr">
        <is>
          <t>['弓箭手', '士兵', '弓']</t>
        </is>
      </c>
      <c r="E19" s="4" t="n">
        <v>1</v>
      </c>
      <c r="F19" s="4">
        <f>SUM($E$4:$E19)</f>
        <v/>
      </c>
      <c r="G19" s="4" t="n">
        <v>1.6</v>
      </c>
      <c r="H19" s="4" t="n">
        <v>0.7</v>
      </c>
      <c r="I19" s="4" t="n">
        <v>10434.5</v>
      </c>
      <c r="J19" s="4" t="n">
        <v>22812.5</v>
      </c>
      <c r="K19" s="4" t="n">
        <v>8090.7</v>
      </c>
      <c r="L19" s="4">
        <f>$K$19*30</f>
        <v/>
      </c>
      <c r="M19" s="4">
        <f>ROUND($L$19/($J$19/3),0)</f>
        <v/>
      </c>
    </row>
    <row r="20">
      <c r="B20" s="4" t="n">
        <v>617</v>
      </c>
      <c r="C20" s="4" t="n">
        <v>510</v>
      </c>
      <c r="D20" s="4" t="inlineStr">
        <is>
          <t>['弓箭手', '士兵', '弓']</t>
        </is>
      </c>
      <c r="E20" s="4" t="n">
        <v>0</v>
      </c>
      <c r="F20" s="4">
        <f>SUM($E$4:$E20)</f>
        <v/>
      </c>
      <c r="G20" s="4" t="n">
        <v>1.6</v>
      </c>
      <c r="H20" s="4" t="n">
        <v>0.7</v>
      </c>
      <c r="I20" s="4" t="n">
        <v>10434.5</v>
      </c>
      <c r="J20" s="4" t="n">
        <v>22812.5</v>
      </c>
      <c r="K20" s="4" t="n">
        <v>8090.7</v>
      </c>
      <c r="L20" s="4">
        <f>$K$20*30</f>
        <v/>
      </c>
      <c r="M20" s="4">
        <f>ROUND($L$20/($J$20/3),0)</f>
        <v/>
      </c>
    </row>
    <row r="21">
      <c r="B21" s="4" t="n">
        <v>618</v>
      </c>
      <c r="C21" s="4" t="n">
        <v>540</v>
      </c>
      <c r="D21" s="4" t="inlineStr">
        <is>
          <t>['弓箭手', '士兵', '弓']</t>
        </is>
      </c>
      <c r="E21" s="4" t="n">
        <v>1</v>
      </c>
      <c r="F21" s="4">
        <f>SUM($E$4:$E21)</f>
        <v/>
      </c>
      <c r="G21" s="4" t="n">
        <v>1.6</v>
      </c>
      <c r="H21" s="4" t="n">
        <v>0.7</v>
      </c>
      <c r="I21" s="4" t="n">
        <v>10434.5</v>
      </c>
      <c r="J21" s="4" t="n">
        <v>23596.2</v>
      </c>
      <c r="K21" s="4" t="n">
        <v>8778.1</v>
      </c>
      <c r="L21" s="4">
        <f>$K$21*30</f>
        <v/>
      </c>
      <c r="M21" s="4">
        <f>ROUND($L$21/($J$21/3),0)</f>
        <v/>
      </c>
    </row>
    <row r="22">
      <c r="B22" s="4" t="n">
        <v>619</v>
      </c>
      <c r="C22" s="4" t="n">
        <v>570</v>
      </c>
      <c r="D22" s="4" t="inlineStr">
        <is>
          <t>['弓箭手', '士兵', '弓']</t>
        </is>
      </c>
      <c r="E22" s="4" t="n">
        <v>1</v>
      </c>
      <c r="F22" s="4">
        <f>SUM($E$4:$E22)</f>
        <v/>
      </c>
      <c r="G22" s="4" t="n">
        <v>1.7</v>
      </c>
      <c r="H22" s="4" t="n">
        <v>0.8</v>
      </c>
      <c r="I22" s="4" t="n">
        <v>10434.5</v>
      </c>
      <c r="J22" s="4" t="n">
        <v>24390</v>
      </c>
      <c r="K22" s="4" t="n">
        <v>9512.799999999999</v>
      </c>
      <c r="L22" s="4">
        <f>$K$22*30</f>
        <v/>
      </c>
      <c r="M22" s="4">
        <f>ROUND($L$22/($J$22/3),0)</f>
        <v/>
      </c>
    </row>
    <row r="23">
      <c r="B23" s="4" t="n">
        <v>620</v>
      </c>
      <c r="C23" s="4" t="n">
        <v>600</v>
      </c>
      <c r="D23" s="4" t="inlineStr">
        <is>
          <t>['弓箭手', '士兵', '弓']</t>
        </is>
      </c>
      <c r="E23" s="4" t="n">
        <v>1</v>
      </c>
      <c r="F23" s="4">
        <f>SUM($E$4:$E23)</f>
        <v/>
      </c>
      <c r="G23" s="4" t="n">
        <v>1.7</v>
      </c>
      <c r="H23" s="4" t="n">
        <v>0.8</v>
      </c>
      <c r="I23" s="4" t="n">
        <v>10434.5</v>
      </c>
      <c r="J23" s="4" t="n">
        <v>25194</v>
      </c>
      <c r="K23" s="4" t="n">
        <v>10297.4</v>
      </c>
      <c r="L23" s="4">
        <f>$K$23*30</f>
        <v/>
      </c>
      <c r="M23" s="4">
        <f>ROUND($L$23/($J$23/3),0)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19.8" customWidth="1" min="2" max="2"/>
    <col width="19.8" customWidth="1" min="3" max="3"/>
    <col width="8.800000000000001" customWidth="1" min="4" max="4"/>
    <col width="15.4" customWidth="1" min="5" max="5"/>
    <col width="11" customWidth="1" min="6" max="6"/>
    <col width="13.2" customWidth="1" min="7" max="7"/>
    <col width="24.2" customWidth="1" min="8" max="8"/>
    <col width="13.2" customWidth="1" min="9" max="9"/>
    <col width="17.6" customWidth="1" min="10" max="10"/>
    <col width="17.6" customWidth="1" min="11" max="11"/>
    <col width="19.8" customWidth="1" min="12" max="12"/>
    <col width="30.8" customWidth="1" min="13" max="13"/>
  </cols>
  <sheetData>
    <row r="1">
      <c r="A1" s="3" t="inlineStr">
        <is>
          <t>##var</t>
        </is>
      </c>
      <c r="B1" s="3" t="inlineStr">
        <is>
          <t>角色等级和波次</t>
        </is>
      </c>
      <c r="C1" s="3" t="inlineStr">
        <is>
          <t>时间点_30s</t>
        </is>
      </c>
      <c r="D1" s="3" t="inlineStr">
        <is>
          <t>阵容</t>
        </is>
      </c>
      <c r="E1" s="3" t="inlineStr">
        <is>
          <t>选技能次数</t>
        </is>
      </c>
      <c r="F1" s="3" t="inlineStr">
        <is>
          <t>总次数</t>
        </is>
      </c>
      <c r="G1" s="3" t="inlineStr">
        <is>
          <t>消除倍率</t>
        </is>
      </c>
      <c r="H1" s="3" t="inlineStr">
        <is>
          <t>每块小兵增加期望值</t>
        </is>
      </c>
      <c r="I1" s="3" t="inlineStr">
        <is>
          <t>初始战力</t>
        </is>
      </c>
      <c r="J1" s="3" t="inlineStr">
        <is>
          <t>当前阵容战力</t>
        </is>
      </c>
      <c r="K1" s="3" t="inlineStr">
        <is>
          <t>战力产出效率</t>
        </is>
      </c>
      <c r="L1" s="3" t="inlineStr">
        <is>
          <t>每波怪物总战力</t>
        </is>
      </c>
      <c r="M1" s="3" t="inlineStr">
        <is>
          <t>平均相当于多少个上阵角色</t>
        </is>
      </c>
    </row>
    <row r="2">
      <c r="A2" s="3" t="inlineStr">
        <is>
          <t>##type</t>
        </is>
      </c>
      <c r="B2" s="3" t="inlineStr">
        <is>
          <t>int</t>
        </is>
      </c>
      <c r="C2" s="3" t="inlineStr">
        <is>
          <t>float</t>
        </is>
      </c>
      <c r="D2" s="3" t="inlineStr">
        <is>
          <t>string</t>
        </is>
      </c>
      <c r="E2" s="3" t="inlineStr">
        <is>
          <t>int</t>
        </is>
      </c>
      <c r="F2" s="3" t="inlineStr">
        <is>
          <t>int</t>
        </is>
      </c>
      <c r="G2" s="3" t="inlineStr">
        <is>
          <t>float</t>
        </is>
      </c>
      <c r="H2" s="3" t="inlineStr">
        <is>
          <t>float</t>
        </is>
      </c>
      <c r="I2" s="3" t="inlineStr">
        <is>
          <t>float</t>
        </is>
      </c>
      <c r="J2" s="3" t="inlineStr">
        <is>
          <t>float</t>
        </is>
      </c>
      <c r="K2" s="3" t="inlineStr">
        <is>
          <t>float</t>
        </is>
      </c>
      <c r="L2" s="3" t="inlineStr">
        <is>
          <t>float</t>
        </is>
      </c>
      <c r="M2" s="3" t="inlineStr">
        <is>
          <t>float</t>
        </is>
      </c>
    </row>
    <row r="3">
      <c r="A3" s="3" t="inlineStr">
        <is>
          <t>##</t>
        </is>
      </c>
      <c r="B3" s="3" t="inlineStr">
        <is>
          <t>角色等级和波次</t>
        </is>
      </c>
      <c r="C3" s="3" t="inlineStr">
        <is>
          <t>时间点_30s</t>
        </is>
      </c>
      <c r="D3" s="3" t="inlineStr">
        <is>
          <t>阵容</t>
        </is>
      </c>
      <c r="E3" s="3" t="inlineStr">
        <is>
          <t>选技能次数</t>
        </is>
      </c>
      <c r="F3" s="3" t="inlineStr">
        <is>
          <t>总次数</t>
        </is>
      </c>
      <c r="G3" s="3" t="inlineStr">
        <is>
          <t>消除倍率</t>
        </is>
      </c>
      <c r="H3" s="3" t="inlineStr">
        <is>
          <t>每块小兵增加期望值</t>
        </is>
      </c>
      <c r="I3" s="3" t="inlineStr">
        <is>
          <t>初始战力</t>
        </is>
      </c>
      <c r="J3" s="3" t="inlineStr">
        <is>
          <t>当前阵容战力</t>
        </is>
      </c>
      <c r="K3" s="3" t="inlineStr">
        <is>
          <t>战力产出效率</t>
        </is>
      </c>
      <c r="L3" s="3" t="inlineStr">
        <is>
          <t>每波怪物总战力</t>
        </is>
      </c>
      <c r="M3" s="3" t="inlineStr">
        <is>
          <t>平均相当于多少个上阵角色</t>
        </is>
      </c>
    </row>
    <row r="4">
      <c r="B4" s="4" t="n">
        <v>501</v>
      </c>
      <c r="C4" s="4" t="n">
        <v>30</v>
      </c>
      <c r="D4" s="4" t="inlineStr">
        <is>
          <t>['弓箭手', '士兵', '弓']</t>
        </is>
      </c>
      <c r="E4" s="4" t="n">
        <v>1</v>
      </c>
      <c r="F4" s="4">
        <f>SUM($E$4:$E4)</f>
        <v/>
      </c>
      <c r="G4" s="4" t="n">
        <v>1</v>
      </c>
      <c r="H4" s="4" t="n">
        <v>0</v>
      </c>
      <c r="I4" s="4" t="n">
        <v>8347.6</v>
      </c>
      <c r="J4" s="4" t="n">
        <v>8829</v>
      </c>
      <c r="K4" s="4" t="n">
        <v>1253.2</v>
      </c>
      <c r="L4" s="4">
        <f>$K$4*30</f>
        <v/>
      </c>
      <c r="M4" s="4">
        <f>ROUND($L$4/($J$4/3),0)</f>
        <v/>
      </c>
    </row>
    <row r="5">
      <c r="B5" s="4" t="n">
        <v>502</v>
      </c>
      <c r="C5" s="4" t="n">
        <v>60</v>
      </c>
      <c r="D5" s="4" t="inlineStr">
        <is>
          <t>['弓箭手', '士兵', '弓']</t>
        </is>
      </c>
      <c r="E5" s="4" t="n">
        <v>2</v>
      </c>
      <c r="F5" s="4">
        <f>SUM($E$4:$E5)</f>
        <v/>
      </c>
      <c r="G5" s="4" t="n">
        <v>1.1</v>
      </c>
      <c r="H5" s="4" t="n">
        <v>0.1</v>
      </c>
      <c r="I5" s="4" t="n">
        <v>8347.6</v>
      </c>
      <c r="J5" s="4" t="n">
        <v>9816</v>
      </c>
      <c r="K5" s="4" t="n">
        <v>1573.1</v>
      </c>
      <c r="L5" s="4">
        <f>$K$5*30</f>
        <v/>
      </c>
      <c r="M5" s="4">
        <f>ROUND($L$5/($J$5/3),0)</f>
        <v/>
      </c>
    </row>
    <row r="6">
      <c r="B6" s="4" t="n">
        <v>503</v>
      </c>
      <c r="C6" s="4" t="n">
        <v>90</v>
      </c>
      <c r="D6" s="4" t="inlineStr">
        <is>
          <t>['弓箭手', '士兵', '弓']</t>
        </is>
      </c>
      <c r="E6" s="4" t="n">
        <v>1</v>
      </c>
      <c r="F6" s="4">
        <f>SUM($E$4:$E6)</f>
        <v/>
      </c>
      <c r="G6" s="4" t="n">
        <v>1.1</v>
      </c>
      <c r="H6" s="4" t="n">
        <v>0.2</v>
      </c>
      <c r="I6" s="4" t="n">
        <v>8347.6</v>
      </c>
      <c r="J6" s="4" t="n">
        <v>10321.6</v>
      </c>
      <c r="K6" s="4" t="n">
        <v>1754.5</v>
      </c>
      <c r="L6" s="4">
        <f>$K$6*30</f>
        <v/>
      </c>
      <c r="M6" s="4">
        <f>ROUND($L$6/($J$6/3),0)</f>
        <v/>
      </c>
    </row>
    <row r="7">
      <c r="B7" s="4" t="n">
        <v>504</v>
      </c>
      <c r="C7" s="4" t="n">
        <v>120</v>
      </c>
      <c r="D7" s="4" t="inlineStr">
        <is>
          <t>['弓箭手', '士兵', '弓']</t>
        </is>
      </c>
      <c r="E7" s="4" t="n">
        <v>1</v>
      </c>
      <c r="F7" s="4">
        <f>SUM($E$4:$E7)</f>
        <v/>
      </c>
      <c r="G7" s="4" t="n">
        <v>1.1</v>
      </c>
      <c r="H7" s="4" t="n">
        <v>0.2</v>
      </c>
      <c r="I7" s="4" t="n">
        <v>8347.6</v>
      </c>
      <c r="J7" s="4" t="n">
        <v>10835.4</v>
      </c>
      <c r="K7" s="4" t="n">
        <v>1951.4</v>
      </c>
      <c r="L7" s="4">
        <f>$K$7*30</f>
        <v/>
      </c>
      <c r="M7" s="4">
        <f>ROUND($L$7/($J$7/3),0)</f>
        <v/>
      </c>
    </row>
    <row r="8">
      <c r="B8" s="4" t="n">
        <v>505</v>
      </c>
      <c r="C8" s="4" t="n">
        <v>150</v>
      </c>
      <c r="D8" s="4" t="inlineStr">
        <is>
          <t>['弓箭手', '士兵', '弓']</t>
        </is>
      </c>
      <c r="E8" s="4" t="n">
        <v>1</v>
      </c>
      <c r="F8" s="4">
        <f>SUM($E$4:$E8)</f>
        <v/>
      </c>
      <c r="G8" s="4" t="n">
        <v>1.2</v>
      </c>
      <c r="H8" s="4" t="n">
        <v>0.2</v>
      </c>
      <c r="I8" s="4" t="n">
        <v>8347.6</v>
      </c>
      <c r="J8" s="4" t="n">
        <v>11357.2</v>
      </c>
      <c r="K8" s="4" t="n">
        <v>2164.9</v>
      </c>
      <c r="L8" s="4">
        <f>$K$8*30</f>
        <v/>
      </c>
      <c r="M8" s="4">
        <f>ROUND($L$8/($J$8/3),0)</f>
        <v/>
      </c>
    </row>
    <row r="9">
      <c r="B9" s="4" t="n">
        <v>506</v>
      </c>
      <c r="C9" s="4" t="n">
        <v>180</v>
      </c>
      <c r="D9" s="4" t="inlineStr">
        <is>
          <t>['弓箭手', '士兵', '弓']</t>
        </is>
      </c>
      <c r="E9" s="4" t="n">
        <v>1</v>
      </c>
      <c r="F9" s="4">
        <f>SUM($E$4:$E9)</f>
        <v/>
      </c>
      <c r="G9" s="4" t="n">
        <v>1.2</v>
      </c>
      <c r="H9" s="4" t="n">
        <v>0.3</v>
      </c>
      <c r="I9" s="4" t="n">
        <v>8347.6</v>
      </c>
      <c r="J9" s="4" t="n">
        <v>11887.1</v>
      </c>
      <c r="K9" s="4" t="n">
        <v>2396.1</v>
      </c>
      <c r="L9" s="4">
        <f>$K$9*30</f>
        <v/>
      </c>
      <c r="M9" s="4">
        <f>ROUND($L$9/($J$9/3),0)</f>
        <v/>
      </c>
    </row>
    <row r="10">
      <c r="B10" s="4" t="n">
        <v>507</v>
      </c>
      <c r="C10" s="4" t="n">
        <v>210</v>
      </c>
      <c r="D10" s="4" t="inlineStr">
        <is>
          <t>['弓箭手', '士兵', '弓']</t>
        </is>
      </c>
      <c r="E10" s="4" t="n">
        <v>2</v>
      </c>
      <c r="F10" s="4">
        <f>SUM($E$4:$E10)</f>
        <v/>
      </c>
      <c r="G10" s="4" t="n">
        <v>1.3</v>
      </c>
      <c r="H10" s="4" t="n">
        <v>0.3</v>
      </c>
      <c r="I10" s="4" t="n">
        <v>8347.6</v>
      </c>
      <c r="J10" s="4" t="n">
        <v>12971.2</v>
      </c>
      <c r="K10" s="4" t="n">
        <v>2916</v>
      </c>
      <c r="L10" s="4">
        <f>$K$10*30</f>
        <v/>
      </c>
      <c r="M10" s="4">
        <f>ROUND($L$10/($J$10/3),0)</f>
        <v/>
      </c>
    </row>
    <row r="11">
      <c r="B11" s="4" t="n">
        <v>508</v>
      </c>
      <c r="C11" s="4" t="n">
        <v>240</v>
      </c>
      <c r="D11" s="4" t="inlineStr">
        <is>
          <t>['弓箭手', '士兵', '弓']</t>
        </is>
      </c>
      <c r="E11" s="4" t="n">
        <v>1</v>
      </c>
      <c r="F11" s="4">
        <f>SUM($E$4:$E11)</f>
        <v/>
      </c>
      <c r="G11" s="4" t="n">
        <v>1.3</v>
      </c>
      <c r="H11" s="4" t="n">
        <v>0.4</v>
      </c>
      <c r="I11" s="4" t="n">
        <v>8347.6</v>
      </c>
      <c r="J11" s="4" t="n">
        <v>13525.4</v>
      </c>
      <c r="K11" s="4" t="n">
        <v>3207.2</v>
      </c>
      <c r="L11" s="4">
        <f>$K$11*30</f>
        <v/>
      </c>
      <c r="M11" s="4">
        <f>ROUND($L$11/($J$11/3),0)</f>
        <v/>
      </c>
    </row>
    <row r="12">
      <c r="B12" s="4" t="n">
        <v>509</v>
      </c>
      <c r="C12" s="4" t="n">
        <v>270</v>
      </c>
      <c r="D12" s="4" t="inlineStr">
        <is>
          <t>['弓箭手', '士兵', '弓']</t>
        </is>
      </c>
      <c r="E12" s="4" t="n">
        <v>1</v>
      </c>
      <c r="F12" s="4">
        <f>SUM($E$4:$E12)</f>
        <v/>
      </c>
      <c r="G12" s="4" t="n">
        <v>1.3</v>
      </c>
      <c r="H12" s="4" t="n">
        <v>0.4</v>
      </c>
      <c r="I12" s="4" t="n">
        <v>8347.6</v>
      </c>
      <c r="J12" s="4" t="n">
        <v>14087.6</v>
      </c>
      <c r="K12" s="4" t="n">
        <v>3520.9</v>
      </c>
      <c r="L12" s="4">
        <f>$K$12*30</f>
        <v/>
      </c>
      <c r="M12" s="4">
        <f>ROUND($L$12/($J$12/3),0)</f>
        <v/>
      </c>
    </row>
    <row r="13">
      <c r="B13" s="4" t="n">
        <v>510</v>
      </c>
      <c r="C13" s="4" t="n">
        <v>300</v>
      </c>
      <c r="D13" s="4" t="inlineStr">
        <is>
          <t>['弓箭手', '士兵', '弓']</t>
        </is>
      </c>
      <c r="E13" s="4" t="n">
        <v>1</v>
      </c>
      <c r="F13" s="4">
        <f>SUM($E$4:$E13)</f>
        <v/>
      </c>
      <c r="G13" s="4" t="n">
        <v>1.4</v>
      </c>
      <c r="H13" s="4" t="n">
        <v>0.5</v>
      </c>
      <c r="I13" s="4" t="n">
        <v>8347.6</v>
      </c>
      <c r="J13" s="4" t="n">
        <v>14658</v>
      </c>
      <c r="K13" s="4" t="n">
        <v>3858.4</v>
      </c>
      <c r="L13" s="4">
        <f>$K$13*30</f>
        <v/>
      </c>
      <c r="M13" s="4">
        <f>ROUND($L$13/($J$13/3),0)</f>
        <v/>
      </c>
    </row>
    <row r="14">
      <c r="B14" s="4" t="n">
        <v>511</v>
      </c>
      <c r="C14" s="4" t="n">
        <v>330</v>
      </c>
      <c r="D14" s="4" t="inlineStr">
        <is>
          <t>['弓箭手', '士兵', '弓']</t>
        </is>
      </c>
      <c r="E14" s="4" t="n">
        <v>1</v>
      </c>
      <c r="F14" s="4">
        <f>SUM($E$4:$E14)</f>
        <v/>
      </c>
      <c r="G14" s="4" t="n">
        <v>1.4</v>
      </c>
      <c r="H14" s="4" t="n">
        <v>0.5</v>
      </c>
      <c r="I14" s="4" t="n">
        <v>8347.6</v>
      </c>
      <c r="J14" s="4" t="n">
        <v>15236.4</v>
      </c>
      <c r="K14" s="4" t="n">
        <v>4221.4</v>
      </c>
      <c r="L14" s="4">
        <f>$K$14*30</f>
        <v/>
      </c>
      <c r="M14" s="4">
        <f>ROUND($L$14/($J$14/3),0)</f>
        <v/>
      </c>
    </row>
    <row r="15">
      <c r="B15" s="4" t="n">
        <v>512</v>
      </c>
      <c r="C15" s="4" t="n">
        <v>360</v>
      </c>
      <c r="D15" s="4" t="inlineStr">
        <is>
          <t>['弓箭手', '士兵', '弓']</t>
        </is>
      </c>
      <c r="E15" s="4" t="n">
        <v>1</v>
      </c>
      <c r="F15" s="4">
        <f>SUM($E$4:$E15)</f>
        <v/>
      </c>
      <c r="G15" s="4" t="n">
        <v>1.4</v>
      </c>
      <c r="H15" s="4" t="n">
        <v>0.5</v>
      </c>
      <c r="I15" s="4" t="n">
        <v>8347.6</v>
      </c>
      <c r="J15" s="4" t="n">
        <v>15822.9</v>
      </c>
      <c r="K15" s="4" t="n">
        <v>4611.2</v>
      </c>
      <c r="L15" s="4">
        <f>$K$15*30</f>
        <v/>
      </c>
      <c r="M15" s="4">
        <f>ROUND($L$15/($J$15/3),0)</f>
        <v/>
      </c>
    </row>
    <row r="16">
      <c r="B16" s="4" t="n">
        <v>513</v>
      </c>
      <c r="C16" s="4" t="n">
        <v>390</v>
      </c>
      <c r="D16" s="4" t="inlineStr">
        <is>
          <t>['弓箭手', '士兵', '弓']</t>
        </is>
      </c>
      <c r="E16" s="4" t="n">
        <v>1</v>
      </c>
      <c r="F16" s="4">
        <f>SUM($E$4:$E16)</f>
        <v/>
      </c>
      <c r="G16" s="4" t="n">
        <v>1.5</v>
      </c>
      <c r="H16" s="4" t="n">
        <v>0.6</v>
      </c>
      <c r="I16" s="4" t="n">
        <v>8347.6</v>
      </c>
      <c r="J16" s="4" t="n">
        <v>16417.6</v>
      </c>
      <c r="K16" s="4" t="n">
        <v>5029.5</v>
      </c>
      <c r="L16" s="4">
        <f>$K$16*30</f>
        <v/>
      </c>
      <c r="M16" s="4">
        <f>ROUND($L$16/($J$16/3),0)</f>
        <v/>
      </c>
    </row>
    <row r="17">
      <c r="B17" s="4" t="n">
        <v>514</v>
      </c>
      <c r="C17" s="4" t="n">
        <v>420</v>
      </c>
      <c r="D17" s="4" t="inlineStr">
        <is>
          <t>['弓箭手', '士兵', '弓']</t>
        </is>
      </c>
      <c r="E17" s="4" t="n">
        <v>1</v>
      </c>
      <c r="F17" s="4">
        <f>SUM($E$4:$E17)</f>
        <v/>
      </c>
      <c r="G17" s="4" t="n">
        <v>1.5</v>
      </c>
      <c r="H17" s="4" t="n">
        <v>0.6</v>
      </c>
      <c r="I17" s="4" t="n">
        <v>8347.6</v>
      </c>
      <c r="J17" s="4" t="n">
        <v>17020.3</v>
      </c>
      <c r="K17" s="4" t="n">
        <v>5477.9</v>
      </c>
      <c r="L17" s="4">
        <f>$K$17*30</f>
        <v/>
      </c>
      <c r="M17" s="4">
        <f>ROUND($L$17/($J$17/3),0)</f>
        <v/>
      </c>
    </row>
    <row r="18">
      <c r="B18" s="4" t="n">
        <v>515</v>
      </c>
      <c r="C18" s="4" t="n">
        <v>450</v>
      </c>
      <c r="D18" s="4" t="inlineStr">
        <is>
          <t>['弓箭手', '士兵', '弓']</t>
        </is>
      </c>
      <c r="E18" s="4" t="n">
        <v>1</v>
      </c>
      <c r="F18" s="4">
        <f>SUM($E$4:$E18)</f>
        <v/>
      </c>
      <c r="G18" s="4" t="n">
        <v>1.5</v>
      </c>
      <c r="H18" s="4" t="n">
        <v>0.6</v>
      </c>
      <c r="I18" s="4" t="n">
        <v>8347.6</v>
      </c>
      <c r="J18" s="4" t="n">
        <v>17631.1</v>
      </c>
      <c r="K18" s="4" t="n">
        <v>5958.4</v>
      </c>
      <c r="L18" s="4">
        <f>$K$18*30</f>
        <v/>
      </c>
      <c r="M18" s="4">
        <f>ROUND($L$18/($J$18/3),0)</f>
        <v/>
      </c>
    </row>
    <row r="19">
      <c r="B19" s="4" t="n">
        <v>516</v>
      </c>
      <c r="C19" s="4" t="n">
        <v>480</v>
      </c>
      <c r="D19" s="4" t="inlineStr">
        <is>
          <t>['弓箭手', '士兵', '弓']</t>
        </is>
      </c>
      <c r="E19" s="4" t="n">
        <v>1</v>
      </c>
      <c r="F19" s="4">
        <f>SUM($E$4:$E19)</f>
        <v/>
      </c>
      <c r="G19" s="4" t="n">
        <v>1.6</v>
      </c>
      <c r="H19" s="4" t="n">
        <v>0.7</v>
      </c>
      <c r="I19" s="4" t="n">
        <v>8347.6</v>
      </c>
      <c r="J19" s="4" t="n">
        <v>18250</v>
      </c>
      <c r="K19" s="4" t="n">
        <v>6472.6</v>
      </c>
      <c r="L19" s="4">
        <f>$K$19*30</f>
        <v/>
      </c>
      <c r="M19" s="4">
        <f>ROUND($L$19/($J$19/3),0)</f>
        <v/>
      </c>
    </row>
    <row r="20">
      <c r="B20" s="4" t="n">
        <v>517</v>
      </c>
      <c r="C20" s="4" t="n">
        <v>510</v>
      </c>
      <c r="D20" s="4" t="inlineStr">
        <is>
          <t>['弓箭手', '士兵', '弓']</t>
        </is>
      </c>
      <c r="E20" s="4" t="n">
        <v>0</v>
      </c>
      <c r="F20" s="4">
        <f>SUM($E$4:$E20)</f>
        <v/>
      </c>
      <c r="G20" s="4" t="n">
        <v>1.6</v>
      </c>
      <c r="H20" s="4" t="n">
        <v>0.7</v>
      </c>
      <c r="I20" s="4" t="n">
        <v>8347.6</v>
      </c>
      <c r="J20" s="4" t="n">
        <v>18250</v>
      </c>
      <c r="K20" s="4" t="n">
        <v>6472.6</v>
      </c>
      <c r="L20" s="4">
        <f>$K$20*30</f>
        <v/>
      </c>
      <c r="M20" s="4">
        <f>ROUND($L$20/($J$20/3),0)</f>
        <v/>
      </c>
    </row>
    <row r="21">
      <c r="B21" s="4" t="n">
        <v>518</v>
      </c>
      <c r="C21" s="4" t="n">
        <v>540</v>
      </c>
      <c r="D21" s="4" t="inlineStr">
        <is>
          <t>['弓箭手', '士兵', '弓']</t>
        </is>
      </c>
      <c r="E21" s="4" t="n">
        <v>1</v>
      </c>
      <c r="F21" s="4">
        <f>SUM($E$4:$E21)</f>
        <v/>
      </c>
      <c r="G21" s="4" t="n">
        <v>1.6</v>
      </c>
      <c r="H21" s="4" t="n">
        <v>0.7</v>
      </c>
      <c r="I21" s="4" t="n">
        <v>8347.6</v>
      </c>
      <c r="J21" s="4" t="n">
        <v>18876.9</v>
      </c>
      <c r="K21" s="4" t="n">
        <v>7022.5</v>
      </c>
      <c r="L21" s="4">
        <f>$K$21*30</f>
        <v/>
      </c>
      <c r="M21" s="4">
        <f>ROUND($L$21/($J$21/3),0)</f>
        <v/>
      </c>
    </row>
    <row r="22">
      <c r="B22" s="4" t="n">
        <v>519</v>
      </c>
      <c r="C22" s="4" t="n">
        <v>570</v>
      </c>
      <c r="D22" s="4" t="inlineStr">
        <is>
          <t>['弓箭手', '士兵', '弓']</t>
        </is>
      </c>
      <c r="E22" s="4" t="n">
        <v>1</v>
      </c>
      <c r="F22" s="4">
        <f>SUM($E$4:$E22)</f>
        <v/>
      </c>
      <c r="G22" s="4" t="n">
        <v>1.7</v>
      </c>
      <c r="H22" s="4" t="n">
        <v>0.8</v>
      </c>
      <c r="I22" s="4" t="n">
        <v>8347.6</v>
      </c>
      <c r="J22" s="4" t="n">
        <v>19512</v>
      </c>
      <c r="K22" s="4" t="n">
        <v>7610.3</v>
      </c>
      <c r="L22" s="4">
        <f>$K$22*30</f>
        <v/>
      </c>
      <c r="M22" s="4">
        <f>ROUND($L$22/($J$22/3),0)</f>
        <v/>
      </c>
    </row>
    <row r="23">
      <c r="B23" s="4" t="n">
        <v>520</v>
      </c>
      <c r="C23" s="4" t="n">
        <v>600</v>
      </c>
      <c r="D23" s="4" t="inlineStr">
        <is>
          <t>['弓箭手', '士兵', '弓']</t>
        </is>
      </c>
      <c r="E23" s="4" t="n">
        <v>1</v>
      </c>
      <c r="F23" s="4">
        <f>SUM($E$4:$E23)</f>
        <v/>
      </c>
      <c r="G23" s="4" t="n">
        <v>1.7</v>
      </c>
      <c r="H23" s="4" t="n">
        <v>0.8</v>
      </c>
      <c r="I23" s="4" t="n">
        <v>8347.6</v>
      </c>
      <c r="J23" s="4" t="n">
        <v>20155.2</v>
      </c>
      <c r="K23" s="4" t="n">
        <v>8237.9</v>
      </c>
      <c r="L23" s="4">
        <f>$K$23*30</f>
        <v/>
      </c>
      <c r="M23" s="4">
        <f>ROUND($L$23/($J$23/3),0)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19.8" customWidth="1" min="2" max="2"/>
    <col width="19.8" customWidth="1" min="3" max="3"/>
    <col width="8.800000000000001" customWidth="1" min="4" max="4"/>
    <col width="15.4" customWidth="1" min="5" max="5"/>
    <col width="11" customWidth="1" min="6" max="6"/>
    <col width="13.2" customWidth="1" min="7" max="7"/>
    <col width="24.2" customWidth="1" min="8" max="8"/>
    <col width="13.2" customWidth="1" min="9" max="9"/>
    <col width="17.6" customWidth="1" min="10" max="10"/>
    <col width="17.6" customWidth="1" min="11" max="11"/>
    <col width="19.8" customWidth="1" min="12" max="12"/>
    <col width="30.8" customWidth="1" min="13" max="13"/>
  </cols>
  <sheetData>
    <row r="1">
      <c r="A1" s="3" t="inlineStr">
        <is>
          <t>##var</t>
        </is>
      </c>
      <c r="B1" s="3" t="inlineStr">
        <is>
          <t>角色等级和波次</t>
        </is>
      </c>
      <c r="C1" s="3" t="inlineStr">
        <is>
          <t>时间点_30s</t>
        </is>
      </c>
      <c r="D1" s="3" t="inlineStr">
        <is>
          <t>阵容</t>
        </is>
      </c>
      <c r="E1" s="3" t="inlineStr">
        <is>
          <t>选技能次数</t>
        </is>
      </c>
      <c r="F1" s="3" t="inlineStr">
        <is>
          <t>总次数</t>
        </is>
      </c>
      <c r="G1" s="3" t="inlineStr">
        <is>
          <t>消除倍率</t>
        </is>
      </c>
      <c r="H1" s="3" t="inlineStr">
        <is>
          <t>每块小兵增加期望值</t>
        </is>
      </c>
      <c r="I1" s="3" t="inlineStr">
        <is>
          <t>初始战力</t>
        </is>
      </c>
      <c r="J1" s="3" t="inlineStr">
        <is>
          <t>当前阵容战力</t>
        </is>
      </c>
      <c r="K1" s="3" t="inlineStr">
        <is>
          <t>战力产出效率</t>
        </is>
      </c>
      <c r="L1" s="3" t="inlineStr">
        <is>
          <t>每波怪物总战力</t>
        </is>
      </c>
      <c r="M1" s="3" t="inlineStr">
        <is>
          <t>平均相当于多少个上阵角色</t>
        </is>
      </c>
    </row>
    <row r="2">
      <c r="A2" s="3" t="inlineStr">
        <is>
          <t>##type</t>
        </is>
      </c>
      <c r="B2" s="3" t="inlineStr">
        <is>
          <t>int</t>
        </is>
      </c>
      <c r="C2" s="3" t="inlineStr">
        <is>
          <t>float</t>
        </is>
      </c>
      <c r="D2" s="3" t="inlineStr">
        <is>
          <t>string</t>
        </is>
      </c>
      <c r="E2" s="3" t="inlineStr">
        <is>
          <t>int</t>
        </is>
      </c>
      <c r="F2" s="3" t="inlineStr">
        <is>
          <t>int</t>
        </is>
      </c>
      <c r="G2" s="3" t="inlineStr">
        <is>
          <t>float</t>
        </is>
      </c>
      <c r="H2" s="3" t="inlineStr">
        <is>
          <t>float</t>
        </is>
      </c>
      <c r="I2" s="3" t="inlineStr">
        <is>
          <t>float</t>
        </is>
      </c>
      <c r="J2" s="3" t="inlineStr">
        <is>
          <t>float</t>
        </is>
      </c>
      <c r="K2" s="3" t="inlineStr">
        <is>
          <t>float</t>
        </is>
      </c>
      <c r="L2" s="3" t="inlineStr">
        <is>
          <t>float</t>
        </is>
      </c>
      <c r="M2" s="3" t="inlineStr">
        <is>
          <t>float</t>
        </is>
      </c>
    </row>
    <row r="3">
      <c r="A3" s="3" t="inlineStr">
        <is>
          <t>##</t>
        </is>
      </c>
      <c r="B3" s="3" t="inlineStr">
        <is>
          <t>角色等级和波次</t>
        </is>
      </c>
      <c r="C3" s="3" t="inlineStr">
        <is>
          <t>时间点_30s</t>
        </is>
      </c>
      <c r="D3" s="3" t="inlineStr">
        <is>
          <t>阵容</t>
        </is>
      </c>
      <c r="E3" s="3" t="inlineStr">
        <is>
          <t>选技能次数</t>
        </is>
      </c>
      <c r="F3" s="3" t="inlineStr">
        <is>
          <t>总次数</t>
        </is>
      </c>
      <c r="G3" s="3" t="inlineStr">
        <is>
          <t>消除倍率</t>
        </is>
      </c>
      <c r="H3" s="3" t="inlineStr">
        <is>
          <t>每块小兵增加期望值</t>
        </is>
      </c>
      <c r="I3" s="3" t="inlineStr">
        <is>
          <t>初始战力</t>
        </is>
      </c>
      <c r="J3" s="3" t="inlineStr">
        <is>
          <t>当前阵容战力</t>
        </is>
      </c>
      <c r="K3" s="3" t="inlineStr">
        <is>
          <t>战力产出效率</t>
        </is>
      </c>
      <c r="L3" s="3" t="inlineStr">
        <is>
          <t>每波怪物总战力</t>
        </is>
      </c>
      <c r="M3" s="3" t="inlineStr">
        <is>
          <t>平均相当于多少个上阵角色</t>
        </is>
      </c>
    </row>
    <row r="4">
      <c r="B4" s="4" t="n">
        <v>401</v>
      </c>
      <c r="C4" s="4" t="n">
        <v>30</v>
      </c>
      <c r="D4" s="4" t="inlineStr">
        <is>
          <t>['弓箭手', '士兵', '弓']</t>
        </is>
      </c>
      <c r="E4" s="4" t="n">
        <v>1</v>
      </c>
      <c r="F4" s="4">
        <f>SUM($E$4:$E4)</f>
        <v/>
      </c>
      <c r="G4" s="4" t="n">
        <v>1</v>
      </c>
      <c r="H4" s="4" t="n">
        <v>0</v>
      </c>
      <c r="I4" s="4" t="n">
        <v>4622.5</v>
      </c>
      <c r="J4" s="4" t="n">
        <v>4884.1</v>
      </c>
      <c r="K4" s="4" t="n">
        <v>693.3</v>
      </c>
      <c r="L4" s="4">
        <f>$K$4*30</f>
        <v/>
      </c>
      <c r="M4" s="4">
        <f>ROUND($L$4/($J$4/3),0)</f>
        <v/>
      </c>
    </row>
    <row r="5">
      <c r="B5" s="4" t="n">
        <v>402</v>
      </c>
      <c r="C5" s="4" t="n">
        <v>60</v>
      </c>
      <c r="D5" s="4" t="inlineStr">
        <is>
          <t>['弓箭手', '士兵', '弓']</t>
        </is>
      </c>
      <c r="E5" s="4" t="n">
        <v>2</v>
      </c>
      <c r="F5" s="4">
        <f>SUM($E$4:$E5)</f>
        <v/>
      </c>
      <c r="G5" s="4" t="n">
        <v>1.1</v>
      </c>
      <c r="H5" s="4" t="n">
        <v>0.1</v>
      </c>
      <c r="I5" s="4" t="n">
        <v>4622.5</v>
      </c>
      <c r="J5" s="4" t="n">
        <v>5420.6</v>
      </c>
      <c r="K5" s="4" t="n">
        <v>868.7</v>
      </c>
      <c r="L5" s="4">
        <f>$K$5*30</f>
        <v/>
      </c>
      <c r="M5" s="4">
        <f>ROUND($L$5/($J$5/3),0)</f>
        <v/>
      </c>
    </row>
    <row r="6">
      <c r="B6" s="4" t="n">
        <v>403</v>
      </c>
      <c r="C6" s="4" t="n">
        <v>90</v>
      </c>
      <c r="D6" s="4" t="inlineStr">
        <is>
          <t>['弓箭手', '士兵', '弓']</t>
        </is>
      </c>
      <c r="E6" s="4" t="n">
        <v>1</v>
      </c>
      <c r="F6" s="4">
        <f>SUM($E$4:$E6)</f>
        <v/>
      </c>
      <c r="G6" s="4" t="n">
        <v>1.1</v>
      </c>
      <c r="H6" s="4" t="n">
        <v>0.2</v>
      </c>
      <c r="I6" s="4" t="n">
        <v>4622.5</v>
      </c>
      <c r="J6" s="4" t="n">
        <v>5695.4</v>
      </c>
      <c r="K6" s="4" t="n">
        <v>968.1</v>
      </c>
      <c r="L6" s="4">
        <f>$K$6*30</f>
        <v/>
      </c>
      <c r="M6" s="4">
        <f>ROUND($L$6/($J$6/3),0)</f>
        <v/>
      </c>
    </row>
    <row r="7">
      <c r="B7" s="4" t="n">
        <v>404</v>
      </c>
      <c r="C7" s="4" t="n">
        <v>120</v>
      </c>
      <c r="D7" s="4" t="inlineStr">
        <is>
          <t>['弓箭手', '士兵', '弓']</t>
        </is>
      </c>
      <c r="E7" s="4" t="n">
        <v>1</v>
      </c>
      <c r="F7" s="4">
        <f>SUM($E$4:$E7)</f>
        <v/>
      </c>
      <c r="G7" s="4" t="n">
        <v>1.1</v>
      </c>
      <c r="H7" s="4" t="n">
        <v>0.2</v>
      </c>
      <c r="I7" s="4" t="n">
        <v>4622.5</v>
      </c>
      <c r="J7" s="4" t="n">
        <v>5974.6</v>
      </c>
      <c r="K7" s="4" t="n">
        <v>1076</v>
      </c>
      <c r="L7" s="4">
        <f>$K$7*30</f>
        <v/>
      </c>
      <c r="M7" s="4">
        <f>ROUND($L$7/($J$7/3),0)</f>
        <v/>
      </c>
    </row>
    <row r="8">
      <c r="B8" s="4" t="n">
        <v>405</v>
      </c>
      <c r="C8" s="4" t="n">
        <v>150</v>
      </c>
      <c r="D8" s="4" t="inlineStr">
        <is>
          <t>['弓箭手', '士兵', '弓']</t>
        </is>
      </c>
      <c r="E8" s="4" t="n">
        <v>1</v>
      </c>
      <c r="F8" s="4">
        <f>SUM($E$4:$E8)</f>
        <v/>
      </c>
      <c r="G8" s="4" t="n">
        <v>1.2</v>
      </c>
      <c r="H8" s="4" t="n">
        <v>0.2</v>
      </c>
      <c r="I8" s="4" t="n">
        <v>4622.5</v>
      </c>
      <c r="J8" s="4" t="n">
        <v>6258.1</v>
      </c>
      <c r="K8" s="4" t="n">
        <v>1192.9</v>
      </c>
      <c r="L8" s="4">
        <f>$K$8*30</f>
        <v/>
      </c>
      <c r="M8" s="4">
        <f>ROUND($L$8/($J$8/3),0)</f>
        <v/>
      </c>
    </row>
    <row r="9">
      <c r="B9" s="4" t="n">
        <v>406</v>
      </c>
      <c r="C9" s="4" t="n">
        <v>180</v>
      </c>
      <c r="D9" s="4" t="inlineStr">
        <is>
          <t>['弓箭手', '士兵', '弓']</t>
        </is>
      </c>
      <c r="E9" s="4" t="n">
        <v>1</v>
      </c>
      <c r="F9" s="4">
        <f>SUM($E$4:$E9)</f>
        <v/>
      </c>
      <c r="G9" s="4" t="n">
        <v>1.2</v>
      </c>
      <c r="H9" s="4" t="n">
        <v>0.3</v>
      </c>
      <c r="I9" s="4" t="n">
        <v>4622.5</v>
      </c>
      <c r="J9" s="4" t="n">
        <v>6546.1</v>
      </c>
      <c r="K9" s="4" t="n">
        <v>1319.5</v>
      </c>
      <c r="L9" s="4">
        <f>$K$9*30</f>
        <v/>
      </c>
      <c r="M9" s="4">
        <f>ROUND($L$9/($J$9/3),0)</f>
        <v/>
      </c>
    </row>
    <row r="10">
      <c r="B10" s="4" t="n">
        <v>407</v>
      </c>
      <c r="C10" s="4" t="n">
        <v>210</v>
      </c>
      <c r="D10" s="4" t="inlineStr">
        <is>
          <t>['弓箭手', '士兵', '弓']</t>
        </is>
      </c>
      <c r="E10" s="4" t="n">
        <v>2</v>
      </c>
      <c r="F10" s="4">
        <f>SUM($E$4:$E10)</f>
        <v/>
      </c>
      <c r="G10" s="4" t="n">
        <v>1.3</v>
      </c>
      <c r="H10" s="4" t="n">
        <v>0.3</v>
      </c>
      <c r="I10" s="4" t="n">
        <v>4622.5</v>
      </c>
      <c r="J10" s="4" t="n">
        <v>7135.1</v>
      </c>
      <c r="K10" s="4" t="n">
        <v>1604</v>
      </c>
      <c r="L10" s="4">
        <f>$K$10*30</f>
        <v/>
      </c>
      <c r="M10" s="4">
        <f>ROUND($L$10/($J$10/3),0)</f>
        <v/>
      </c>
    </row>
    <row r="11">
      <c r="B11" s="4" t="n">
        <v>408</v>
      </c>
      <c r="C11" s="4" t="n">
        <v>240</v>
      </c>
      <c r="D11" s="4" t="inlineStr">
        <is>
          <t>['弓箭手', '士兵', '弓']</t>
        </is>
      </c>
      <c r="E11" s="4" t="n">
        <v>1</v>
      </c>
      <c r="F11" s="4">
        <f>SUM($E$4:$E11)</f>
        <v/>
      </c>
      <c r="G11" s="4" t="n">
        <v>1.3</v>
      </c>
      <c r="H11" s="4" t="n">
        <v>0.4</v>
      </c>
      <c r="I11" s="4" t="n">
        <v>4622.5</v>
      </c>
      <c r="J11" s="4" t="n">
        <v>7436.1</v>
      </c>
      <c r="K11" s="4" t="n">
        <v>1763.3</v>
      </c>
      <c r="L11" s="4">
        <f>$K$11*30</f>
        <v/>
      </c>
      <c r="M11" s="4">
        <f>ROUND($L$11/($J$11/3),0)</f>
        <v/>
      </c>
    </row>
    <row r="12">
      <c r="B12" s="4" t="n">
        <v>409</v>
      </c>
      <c r="C12" s="4" t="n">
        <v>270</v>
      </c>
      <c r="D12" s="4" t="inlineStr">
        <is>
          <t>['弓箭手', '士兵', '弓']</t>
        </is>
      </c>
      <c r="E12" s="4" t="n">
        <v>1</v>
      </c>
      <c r="F12" s="4">
        <f>SUM($E$4:$E12)</f>
        <v/>
      </c>
      <c r="G12" s="4" t="n">
        <v>1.3</v>
      </c>
      <c r="H12" s="4" t="n">
        <v>0.4</v>
      </c>
      <c r="I12" s="4" t="n">
        <v>4622.5</v>
      </c>
      <c r="J12" s="4" t="n">
        <v>7741.6</v>
      </c>
      <c r="K12" s="4" t="n">
        <v>1934.8</v>
      </c>
      <c r="L12" s="4">
        <f>$K$12*30</f>
        <v/>
      </c>
      <c r="M12" s="4">
        <f>ROUND($L$12/($J$12/3),0)</f>
        <v/>
      </c>
    </row>
    <row r="13">
      <c r="B13" s="4" t="n">
        <v>410</v>
      </c>
      <c r="C13" s="4" t="n">
        <v>300</v>
      </c>
      <c r="D13" s="4" t="inlineStr">
        <is>
          <t>['弓箭手', '士兵', '弓']</t>
        </is>
      </c>
      <c r="E13" s="4" t="n">
        <v>1</v>
      </c>
      <c r="F13" s="4">
        <f>SUM($E$4:$E13)</f>
        <v/>
      </c>
      <c r="G13" s="4" t="n">
        <v>1.4</v>
      </c>
      <c r="H13" s="4" t="n">
        <v>0.5</v>
      </c>
      <c r="I13" s="4" t="n">
        <v>4622.5</v>
      </c>
      <c r="J13" s="4" t="n">
        <v>8051.4</v>
      </c>
      <c r="K13" s="4" t="n">
        <v>2119.4</v>
      </c>
      <c r="L13" s="4">
        <f>$K$13*30</f>
        <v/>
      </c>
      <c r="M13" s="4">
        <f>ROUND($L$13/($J$13/3),0)</f>
        <v/>
      </c>
    </row>
    <row r="14">
      <c r="B14" s="4" t="n">
        <v>411</v>
      </c>
      <c r="C14" s="4" t="n">
        <v>330</v>
      </c>
      <c r="D14" s="4" t="inlineStr">
        <is>
          <t>['弓箭手', '士兵', '弓']</t>
        </is>
      </c>
      <c r="E14" s="4" t="n">
        <v>1</v>
      </c>
      <c r="F14" s="4">
        <f>SUM($E$4:$E14)</f>
        <v/>
      </c>
      <c r="G14" s="4" t="n">
        <v>1.4</v>
      </c>
      <c r="H14" s="4" t="n">
        <v>0.5</v>
      </c>
      <c r="I14" s="4" t="n">
        <v>4622.5</v>
      </c>
      <c r="J14" s="4" t="n">
        <v>8365.6</v>
      </c>
      <c r="K14" s="4" t="n">
        <v>2317.8</v>
      </c>
      <c r="L14" s="4">
        <f>$K$14*30</f>
        <v/>
      </c>
      <c r="M14" s="4">
        <f>ROUND($L$14/($J$14/3),0)</f>
        <v/>
      </c>
    </row>
    <row r="15">
      <c r="B15" s="4" t="n">
        <v>412</v>
      </c>
      <c r="C15" s="4" t="n">
        <v>360</v>
      </c>
      <c r="D15" s="4" t="inlineStr">
        <is>
          <t>['弓箭手', '士兵', '弓']</t>
        </is>
      </c>
      <c r="E15" s="4" t="n">
        <v>1</v>
      </c>
      <c r="F15" s="4">
        <f>SUM($E$4:$E15)</f>
        <v/>
      </c>
      <c r="G15" s="4" t="n">
        <v>1.4</v>
      </c>
      <c r="H15" s="4" t="n">
        <v>0.5</v>
      </c>
      <c r="I15" s="4" t="n">
        <v>4622.5</v>
      </c>
      <c r="J15" s="4" t="n">
        <v>8684.200000000001</v>
      </c>
      <c r="K15" s="4" t="n">
        <v>2530.8</v>
      </c>
      <c r="L15" s="4">
        <f>$K$15*30</f>
        <v/>
      </c>
      <c r="M15" s="4">
        <f>ROUND($L$15/($J$15/3),0)</f>
        <v/>
      </c>
    </row>
    <row r="16">
      <c r="B16" s="4" t="n">
        <v>413</v>
      </c>
      <c r="C16" s="4" t="n">
        <v>390</v>
      </c>
      <c r="D16" s="4" t="inlineStr">
        <is>
          <t>['弓箭手', '士兵', '弓']</t>
        </is>
      </c>
      <c r="E16" s="4" t="n">
        <v>1</v>
      </c>
      <c r="F16" s="4">
        <f>SUM($E$4:$E16)</f>
        <v/>
      </c>
      <c r="G16" s="4" t="n">
        <v>1.5</v>
      </c>
      <c r="H16" s="4" t="n">
        <v>0.6</v>
      </c>
      <c r="I16" s="4" t="n">
        <v>4622.5</v>
      </c>
      <c r="J16" s="4" t="n">
        <v>9007.200000000001</v>
      </c>
      <c r="K16" s="4" t="n">
        <v>2759.3</v>
      </c>
      <c r="L16" s="4">
        <f>$K$16*30</f>
        <v/>
      </c>
      <c r="M16" s="4">
        <f>ROUND($L$16/($J$16/3),0)</f>
        <v/>
      </c>
    </row>
    <row r="17">
      <c r="B17" s="4" t="n">
        <v>414</v>
      </c>
      <c r="C17" s="4" t="n">
        <v>420</v>
      </c>
      <c r="D17" s="4" t="inlineStr">
        <is>
          <t>['弓箭手', '士兵', '弓']</t>
        </is>
      </c>
      <c r="E17" s="4" t="n">
        <v>1</v>
      </c>
      <c r="F17" s="4">
        <f>SUM($E$4:$E17)</f>
        <v/>
      </c>
      <c r="G17" s="4" t="n">
        <v>1.5</v>
      </c>
      <c r="H17" s="4" t="n">
        <v>0.6</v>
      </c>
      <c r="I17" s="4" t="n">
        <v>4622.5</v>
      </c>
      <c r="J17" s="4" t="n">
        <v>9334.6</v>
      </c>
      <c r="K17" s="4" t="n">
        <v>3004.3</v>
      </c>
      <c r="L17" s="4">
        <f>$K$17*30</f>
        <v/>
      </c>
      <c r="M17" s="4">
        <f>ROUND($L$17/($J$17/3),0)</f>
        <v/>
      </c>
    </row>
    <row r="18">
      <c r="B18" s="4" t="n">
        <v>415</v>
      </c>
      <c r="C18" s="4" t="n">
        <v>450</v>
      </c>
      <c r="D18" s="4" t="inlineStr">
        <is>
          <t>['弓箭手', '士兵', '弓']</t>
        </is>
      </c>
      <c r="E18" s="4" t="n">
        <v>1</v>
      </c>
      <c r="F18" s="4">
        <f>SUM($E$4:$E18)</f>
        <v/>
      </c>
      <c r="G18" s="4" t="n">
        <v>1.5</v>
      </c>
      <c r="H18" s="4" t="n">
        <v>0.6</v>
      </c>
      <c r="I18" s="4" t="n">
        <v>4622.5</v>
      </c>
      <c r="J18" s="4" t="n">
        <v>9666.299999999999</v>
      </c>
      <c r="K18" s="4" t="n">
        <v>3266.7</v>
      </c>
      <c r="L18" s="4">
        <f>$K$18*30</f>
        <v/>
      </c>
      <c r="M18" s="4">
        <f>ROUND($L$18/($J$18/3),0)</f>
        <v/>
      </c>
    </row>
    <row r="19">
      <c r="B19" s="4" t="n">
        <v>416</v>
      </c>
      <c r="C19" s="4" t="n">
        <v>480</v>
      </c>
      <c r="D19" s="4" t="inlineStr">
        <is>
          <t>['弓箭手', '士兵', '弓']</t>
        </is>
      </c>
      <c r="E19" s="4" t="n">
        <v>1</v>
      </c>
      <c r="F19" s="4">
        <f>SUM($E$4:$E19)</f>
        <v/>
      </c>
      <c r="G19" s="4" t="n">
        <v>1.6</v>
      </c>
      <c r="H19" s="4" t="n">
        <v>0.7</v>
      </c>
      <c r="I19" s="4" t="n">
        <v>4622.5</v>
      </c>
      <c r="J19" s="4" t="n">
        <v>10002.4</v>
      </c>
      <c r="K19" s="4" t="n">
        <v>3547.5</v>
      </c>
      <c r="L19" s="4">
        <f>$K$19*30</f>
        <v/>
      </c>
      <c r="M19" s="4">
        <f>ROUND($L$19/($J$19/3),0)</f>
        <v/>
      </c>
    </row>
    <row r="20">
      <c r="B20" s="4" t="n">
        <v>417</v>
      </c>
      <c r="C20" s="4" t="n">
        <v>510</v>
      </c>
      <c r="D20" s="4" t="inlineStr">
        <is>
          <t>['弓箭手', '士兵', '弓']</t>
        </is>
      </c>
      <c r="E20" s="4" t="n">
        <v>0</v>
      </c>
      <c r="F20" s="4">
        <f>SUM($E$4:$E20)</f>
        <v/>
      </c>
      <c r="G20" s="4" t="n">
        <v>1.6</v>
      </c>
      <c r="H20" s="4" t="n">
        <v>0.7</v>
      </c>
      <c r="I20" s="4" t="n">
        <v>4622.5</v>
      </c>
      <c r="J20" s="4" t="n">
        <v>10002.4</v>
      </c>
      <c r="K20" s="4" t="n">
        <v>3547.5</v>
      </c>
      <c r="L20" s="4">
        <f>$K$20*30</f>
        <v/>
      </c>
      <c r="M20" s="4">
        <f>ROUND($L$20/($J$20/3),0)</f>
        <v/>
      </c>
    </row>
    <row r="21">
      <c r="B21" s="4" t="n">
        <v>418</v>
      </c>
      <c r="C21" s="4" t="n">
        <v>540</v>
      </c>
      <c r="D21" s="4" t="inlineStr">
        <is>
          <t>['弓箭手', '士兵', '弓']</t>
        </is>
      </c>
      <c r="E21" s="4" t="n">
        <v>1</v>
      </c>
      <c r="F21" s="4">
        <f>SUM($E$4:$E21)</f>
        <v/>
      </c>
      <c r="G21" s="4" t="n">
        <v>1.6</v>
      </c>
      <c r="H21" s="4" t="n">
        <v>0.7</v>
      </c>
      <c r="I21" s="4" t="n">
        <v>4622.5</v>
      </c>
      <c r="J21" s="4" t="n">
        <v>10342.9</v>
      </c>
      <c r="K21" s="4" t="n">
        <v>3847.7</v>
      </c>
      <c r="L21" s="4">
        <f>$K$21*30</f>
        <v/>
      </c>
      <c r="M21" s="4">
        <f>ROUND($L$21/($J$21/3),0)</f>
        <v/>
      </c>
    </row>
    <row r="22">
      <c r="B22" s="4" t="n">
        <v>419</v>
      </c>
      <c r="C22" s="4" t="n">
        <v>570</v>
      </c>
      <c r="D22" s="4" t="inlineStr">
        <is>
          <t>['弓箭手', '士兵', '弓']</t>
        </is>
      </c>
      <c r="E22" s="4" t="n">
        <v>1</v>
      </c>
      <c r="F22" s="4">
        <f>SUM($E$4:$E22)</f>
        <v/>
      </c>
      <c r="G22" s="4" t="n">
        <v>1.7</v>
      </c>
      <c r="H22" s="4" t="n">
        <v>0.8</v>
      </c>
      <c r="I22" s="4" t="n">
        <v>4622.5</v>
      </c>
      <c r="J22" s="4" t="n">
        <v>10687.7</v>
      </c>
      <c r="K22" s="4" t="n">
        <v>4168.5</v>
      </c>
      <c r="L22" s="4">
        <f>$K$22*30</f>
        <v/>
      </c>
      <c r="M22" s="4">
        <f>ROUND($L$22/($J$22/3),0)</f>
        <v/>
      </c>
    </row>
    <row r="23">
      <c r="B23" s="4" t="n">
        <v>420</v>
      </c>
      <c r="C23" s="4" t="n">
        <v>600</v>
      </c>
      <c r="D23" s="4" t="inlineStr">
        <is>
          <t>['弓箭手', '士兵', '弓']</t>
        </is>
      </c>
      <c r="E23" s="4" t="n">
        <v>1</v>
      </c>
      <c r="F23" s="4">
        <f>SUM($E$4:$E23)</f>
        <v/>
      </c>
      <c r="G23" s="4" t="n">
        <v>1.7</v>
      </c>
      <c r="H23" s="4" t="n">
        <v>0.8</v>
      </c>
      <c r="I23" s="4" t="n">
        <v>4622.5</v>
      </c>
      <c r="J23" s="4" t="n">
        <v>11037</v>
      </c>
      <c r="K23" s="4" t="n">
        <v>4511.1</v>
      </c>
      <c r="L23" s="4">
        <f>$K$23*30</f>
        <v/>
      </c>
      <c r="M23" s="4">
        <f>ROUND($L$23/($J$23/3),0)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19.8" customWidth="1" min="2" max="2"/>
    <col width="19.8" customWidth="1" min="3" max="3"/>
    <col width="8.800000000000001" customWidth="1" min="4" max="4"/>
    <col width="15.4" customWidth="1" min="5" max="5"/>
    <col width="11" customWidth="1" min="6" max="6"/>
    <col width="13.2" customWidth="1" min="7" max="7"/>
    <col width="24.2" customWidth="1" min="8" max="8"/>
    <col width="13.2" customWidth="1" min="9" max="9"/>
    <col width="17.6" customWidth="1" min="10" max="10"/>
    <col width="17.6" customWidth="1" min="11" max="11"/>
    <col width="19.8" customWidth="1" min="12" max="12"/>
    <col width="30.8" customWidth="1" min="13" max="13"/>
  </cols>
  <sheetData>
    <row r="1">
      <c r="A1" s="3" t="inlineStr">
        <is>
          <t>##var</t>
        </is>
      </c>
      <c r="B1" s="3" t="inlineStr">
        <is>
          <t>角色等级和波次</t>
        </is>
      </c>
      <c r="C1" s="3" t="inlineStr">
        <is>
          <t>时间点_30s</t>
        </is>
      </c>
      <c r="D1" s="3" t="inlineStr">
        <is>
          <t>阵容</t>
        </is>
      </c>
      <c r="E1" s="3" t="inlineStr">
        <is>
          <t>选技能次数</t>
        </is>
      </c>
      <c r="F1" s="3" t="inlineStr">
        <is>
          <t>总次数</t>
        </is>
      </c>
      <c r="G1" s="3" t="inlineStr">
        <is>
          <t>消除倍率</t>
        </is>
      </c>
      <c r="H1" s="3" t="inlineStr">
        <is>
          <t>每块小兵增加期望值</t>
        </is>
      </c>
      <c r="I1" s="3" t="inlineStr">
        <is>
          <t>初始战力</t>
        </is>
      </c>
      <c r="J1" s="3" t="inlineStr">
        <is>
          <t>当前阵容战力</t>
        </is>
      </c>
      <c r="K1" s="3" t="inlineStr">
        <is>
          <t>战力产出效率</t>
        </is>
      </c>
      <c r="L1" s="3" t="inlineStr">
        <is>
          <t>每波怪物总战力</t>
        </is>
      </c>
      <c r="M1" s="3" t="inlineStr">
        <is>
          <t>平均相当于多少个上阵角色</t>
        </is>
      </c>
    </row>
    <row r="2">
      <c r="A2" s="3" t="inlineStr">
        <is>
          <t>##type</t>
        </is>
      </c>
      <c r="B2" s="3" t="inlineStr">
        <is>
          <t>int</t>
        </is>
      </c>
      <c r="C2" s="3" t="inlineStr">
        <is>
          <t>float</t>
        </is>
      </c>
      <c r="D2" s="3" t="inlineStr">
        <is>
          <t>string</t>
        </is>
      </c>
      <c r="E2" s="3" t="inlineStr">
        <is>
          <t>int</t>
        </is>
      </c>
      <c r="F2" s="3" t="inlineStr">
        <is>
          <t>int</t>
        </is>
      </c>
      <c r="G2" s="3" t="inlineStr">
        <is>
          <t>float</t>
        </is>
      </c>
      <c r="H2" s="3" t="inlineStr">
        <is>
          <t>float</t>
        </is>
      </c>
      <c r="I2" s="3" t="inlineStr">
        <is>
          <t>float</t>
        </is>
      </c>
      <c r="J2" s="3" t="inlineStr">
        <is>
          <t>float</t>
        </is>
      </c>
      <c r="K2" s="3" t="inlineStr">
        <is>
          <t>float</t>
        </is>
      </c>
      <c r="L2" s="3" t="inlineStr">
        <is>
          <t>float</t>
        </is>
      </c>
      <c r="M2" s="3" t="inlineStr">
        <is>
          <t>float</t>
        </is>
      </c>
    </row>
    <row r="3">
      <c r="A3" s="3" t="inlineStr">
        <is>
          <t>##</t>
        </is>
      </c>
      <c r="B3" s="3" t="inlineStr">
        <is>
          <t>角色等级和波次</t>
        </is>
      </c>
      <c r="C3" s="3" t="inlineStr">
        <is>
          <t>时间点_30s</t>
        </is>
      </c>
      <c r="D3" s="3" t="inlineStr">
        <is>
          <t>阵容</t>
        </is>
      </c>
      <c r="E3" s="3" t="inlineStr">
        <is>
          <t>选技能次数</t>
        </is>
      </c>
      <c r="F3" s="3" t="inlineStr">
        <is>
          <t>总次数</t>
        </is>
      </c>
      <c r="G3" s="3" t="inlineStr">
        <is>
          <t>消除倍率</t>
        </is>
      </c>
      <c r="H3" s="3" t="inlineStr">
        <is>
          <t>每块小兵增加期望值</t>
        </is>
      </c>
      <c r="I3" s="3" t="inlineStr">
        <is>
          <t>初始战力</t>
        </is>
      </c>
      <c r="J3" s="3" t="inlineStr">
        <is>
          <t>当前阵容战力</t>
        </is>
      </c>
      <c r="K3" s="3" t="inlineStr">
        <is>
          <t>战力产出效率</t>
        </is>
      </c>
      <c r="L3" s="3" t="inlineStr">
        <is>
          <t>每波怪物总战力</t>
        </is>
      </c>
      <c r="M3" s="3" t="inlineStr">
        <is>
          <t>平均相当于多少个上阵角色</t>
        </is>
      </c>
    </row>
    <row r="4">
      <c r="B4" s="4" t="n">
        <v>301</v>
      </c>
      <c r="C4" s="4" t="n">
        <v>30</v>
      </c>
      <c r="D4" s="4" t="inlineStr">
        <is>
          <t>['弓箭手', '士兵', '弓']</t>
        </is>
      </c>
      <c r="E4" s="4" t="n">
        <v>1</v>
      </c>
      <c r="F4" s="4">
        <f>SUM($E$4:$E4)</f>
        <v/>
      </c>
      <c r="G4" s="4" t="n">
        <v>1</v>
      </c>
      <c r="H4" s="4" t="n">
        <v>0</v>
      </c>
      <c r="I4" s="4" t="n">
        <v>3698</v>
      </c>
      <c r="J4" s="4" t="n">
        <v>3907.3</v>
      </c>
      <c r="K4" s="4" t="n">
        <v>554.6</v>
      </c>
      <c r="L4" s="4">
        <f>$K$4*30</f>
        <v/>
      </c>
      <c r="M4" s="4">
        <f>ROUND($L$4/($J$4/3),0)</f>
        <v/>
      </c>
    </row>
    <row r="5">
      <c r="B5" s="4" t="n">
        <v>302</v>
      </c>
      <c r="C5" s="4" t="n">
        <v>60</v>
      </c>
      <c r="D5" s="4" t="inlineStr">
        <is>
          <t>['弓箭手', '士兵', '弓']</t>
        </is>
      </c>
      <c r="E5" s="4" t="n">
        <v>2</v>
      </c>
      <c r="F5" s="4">
        <f>SUM($E$4:$E5)</f>
        <v/>
      </c>
      <c r="G5" s="4" t="n">
        <v>1.1</v>
      </c>
      <c r="H5" s="4" t="n">
        <v>0.1</v>
      </c>
      <c r="I5" s="4" t="n">
        <v>3698</v>
      </c>
      <c r="J5" s="4" t="n">
        <v>4336.5</v>
      </c>
      <c r="K5" s="4" t="n">
        <v>695</v>
      </c>
      <c r="L5" s="4">
        <f>$K$5*30</f>
        <v/>
      </c>
      <c r="M5" s="4">
        <f>ROUND($L$5/($J$5/3),0)</f>
        <v/>
      </c>
    </row>
    <row r="6">
      <c r="B6" s="4" t="n">
        <v>303</v>
      </c>
      <c r="C6" s="4" t="n">
        <v>90</v>
      </c>
      <c r="D6" s="4" t="inlineStr">
        <is>
          <t>['弓箭手', '士兵', '弓']</t>
        </is>
      </c>
      <c r="E6" s="4" t="n">
        <v>1</v>
      </c>
      <c r="F6" s="4">
        <f>SUM($E$4:$E6)</f>
        <v/>
      </c>
      <c r="G6" s="4" t="n">
        <v>1.1</v>
      </c>
      <c r="H6" s="4" t="n">
        <v>0.2</v>
      </c>
      <c r="I6" s="4" t="n">
        <v>3698</v>
      </c>
      <c r="J6" s="4" t="n">
        <v>4556.3</v>
      </c>
      <c r="K6" s="4" t="n">
        <v>774.5</v>
      </c>
      <c r="L6" s="4">
        <f>$K$6*30</f>
        <v/>
      </c>
      <c r="M6" s="4">
        <f>ROUND($L$6/($J$6/3),0)</f>
        <v/>
      </c>
    </row>
    <row r="7">
      <c r="B7" s="4" t="n">
        <v>304</v>
      </c>
      <c r="C7" s="4" t="n">
        <v>120</v>
      </c>
      <c r="D7" s="4" t="inlineStr">
        <is>
          <t>['弓箭手', '士兵', '弓']</t>
        </is>
      </c>
      <c r="E7" s="4" t="n">
        <v>1</v>
      </c>
      <c r="F7" s="4">
        <f>SUM($E$4:$E7)</f>
        <v/>
      </c>
      <c r="G7" s="4" t="n">
        <v>1.1</v>
      </c>
      <c r="H7" s="4" t="n">
        <v>0.2</v>
      </c>
      <c r="I7" s="4" t="n">
        <v>3698</v>
      </c>
      <c r="J7" s="4" t="n">
        <v>4779.7</v>
      </c>
      <c r="K7" s="4" t="n">
        <v>860.8</v>
      </c>
      <c r="L7" s="4">
        <f>$K$7*30</f>
        <v/>
      </c>
      <c r="M7" s="4">
        <f>ROUND($L$7/($J$7/3),0)</f>
        <v/>
      </c>
    </row>
    <row r="8">
      <c r="B8" s="4" t="n">
        <v>305</v>
      </c>
      <c r="C8" s="4" t="n">
        <v>150</v>
      </c>
      <c r="D8" s="4" t="inlineStr">
        <is>
          <t>['弓箭手', '士兵', '弓']</t>
        </is>
      </c>
      <c r="E8" s="4" t="n">
        <v>1</v>
      </c>
      <c r="F8" s="4">
        <f>SUM($E$4:$E8)</f>
        <v/>
      </c>
      <c r="G8" s="4" t="n">
        <v>1.2</v>
      </c>
      <c r="H8" s="4" t="n">
        <v>0.2</v>
      </c>
      <c r="I8" s="4" t="n">
        <v>3698</v>
      </c>
      <c r="J8" s="4" t="n">
        <v>5006.5</v>
      </c>
      <c r="K8" s="4" t="n">
        <v>954.4</v>
      </c>
      <c r="L8" s="4">
        <f>$K$8*30</f>
        <v/>
      </c>
      <c r="M8" s="4">
        <f>ROUND($L$8/($J$8/3),0)</f>
        <v/>
      </c>
    </row>
    <row r="9">
      <c r="B9" s="4" t="n">
        <v>306</v>
      </c>
      <c r="C9" s="4" t="n">
        <v>180</v>
      </c>
      <c r="D9" s="4" t="inlineStr">
        <is>
          <t>['弓箭手', '士兵', '弓']</t>
        </is>
      </c>
      <c r="E9" s="4" t="n">
        <v>1</v>
      </c>
      <c r="F9" s="4">
        <f>SUM($E$4:$E9)</f>
        <v/>
      </c>
      <c r="G9" s="4" t="n">
        <v>1.2</v>
      </c>
      <c r="H9" s="4" t="n">
        <v>0.3</v>
      </c>
      <c r="I9" s="4" t="n">
        <v>3698</v>
      </c>
      <c r="J9" s="4" t="n">
        <v>5236.8</v>
      </c>
      <c r="K9" s="4" t="n">
        <v>1055.6</v>
      </c>
      <c r="L9" s="4">
        <f>$K$9*30</f>
        <v/>
      </c>
      <c r="M9" s="4">
        <f>ROUND($L$9/($J$9/3),0)</f>
        <v/>
      </c>
    </row>
    <row r="10">
      <c r="B10" s="4" t="n">
        <v>307</v>
      </c>
      <c r="C10" s="4" t="n">
        <v>210</v>
      </c>
      <c r="D10" s="4" t="inlineStr">
        <is>
          <t>['弓箭手', '士兵', '弓']</t>
        </is>
      </c>
      <c r="E10" s="4" t="n">
        <v>2</v>
      </c>
      <c r="F10" s="4">
        <f>SUM($E$4:$E10)</f>
        <v/>
      </c>
      <c r="G10" s="4" t="n">
        <v>1.3</v>
      </c>
      <c r="H10" s="4" t="n">
        <v>0.3</v>
      </c>
      <c r="I10" s="4" t="n">
        <v>3698</v>
      </c>
      <c r="J10" s="4" t="n">
        <v>5708.1</v>
      </c>
      <c r="K10" s="4" t="n">
        <v>1283.2</v>
      </c>
      <c r="L10" s="4">
        <f>$K$10*30</f>
        <v/>
      </c>
      <c r="M10" s="4">
        <f>ROUND($L$10/($J$10/3),0)</f>
        <v/>
      </c>
    </row>
    <row r="11">
      <c r="B11" s="4" t="n">
        <v>308</v>
      </c>
      <c r="C11" s="4" t="n">
        <v>240</v>
      </c>
      <c r="D11" s="4" t="inlineStr">
        <is>
          <t>['弓箭手', '士兵', '弓']</t>
        </is>
      </c>
      <c r="E11" s="4" t="n">
        <v>1</v>
      </c>
      <c r="F11" s="4">
        <f>SUM($E$4:$E11)</f>
        <v/>
      </c>
      <c r="G11" s="4" t="n">
        <v>1.3</v>
      </c>
      <c r="H11" s="4" t="n">
        <v>0.4</v>
      </c>
      <c r="I11" s="4" t="n">
        <v>3698</v>
      </c>
      <c r="J11" s="4" t="n">
        <v>5948.9</v>
      </c>
      <c r="K11" s="4" t="n">
        <v>1410.6</v>
      </c>
      <c r="L11" s="4">
        <f>$K$11*30</f>
        <v/>
      </c>
      <c r="M11" s="4">
        <f>ROUND($L$11/($J$11/3),0)</f>
        <v/>
      </c>
    </row>
    <row r="12">
      <c r="B12" s="4" t="n">
        <v>309</v>
      </c>
      <c r="C12" s="4" t="n">
        <v>270</v>
      </c>
      <c r="D12" s="4" t="inlineStr">
        <is>
          <t>['弓箭手', '士兵', '弓']</t>
        </is>
      </c>
      <c r="E12" s="4" t="n">
        <v>1</v>
      </c>
      <c r="F12" s="4">
        <f>SUM($E$4:$E12)</f>
        <v/>
      </c>
      <c r="G12" s="4" t="n">
        <v>1.3</v>
      </c>
      <c r="H12" s="4" t="n">
        <v>0.4</v>
      </c>
      <c r="I12" s="4" t="n">
        <v>3698</v>
      </c>
      <c r="J12" s="4" t="n">
        <v>6193.3</v>
      </c>
      <c r="K12" s="4" t="n">
        <v>1547.9</v>
      </c>
      <c r="L12" s="4">
        <f>$K$12*30</f>
        <v/>
      </c>
      <c r="M12" s="4">
        <f>ROUND($L$12/($J$12/3),0)</f>
        <v/>
      </c>
    </row>
    <row r="13">
      <c r="B13" s="4" t="n">
        <v>310</v>
      </c>
      <c r="C13" s="4" t="n">
        <v>300</v>
      </c>
      <c r="D13" s="4" t="inlineStr">
        <is>
          <t>['弓箭手', '士兵', '弓']</t>
        </is>
      </c>
      <c r="E13" s="4" t="n">
        <v>1</v>
      </c>
      <c r="F13" s="4">
        <f>SUM($E$4:$E13)</f>
        <v/>
      </c>
      <c r="G13" s="4" t="n">
        <v>1.4</v>
      </c>
      <c r="H13" s="4" t="n">
        <v>0.5</v>
      </c>
      <c r="I13" s="4" t="n">
        <v>3698</v>
      </c>
      <c r="J13" s="4" t="n">
        <v>6441.1</v>
      </c>
      <c r="K13" s="4" t="n">
        <v>1695.5</v>
      </c>
      <c r="L13" s="4">
        <f>$K$13*30</f>
        <v/>
      </c>
      <c r="M13" s="4">
        <f>ROUND($L$13/($J$13/3),0)</f>
        <v/>
      </c>
    </row>
    <row r="14">
      <c r="B14" s="4" t="n">
        <v>311</v>
      </c>
      <c r="C14" s="4" t="n">
        <v>330</v>
      </c>
      <c r="D14" s="4" t="inlineStr">
        <is>
          <t>['弓箭手', '士兵', '弓']</t>
        </is>
      </c>
      <c r="E14" s="4" t="n">
        <v>1</v>
      </c>
      <c r="F14" s="4">
        <f>SUM($E$4:$E14)</f>
        <v/>
      </c>
      <c r="G14" s="4" t="n">
        <v>1.4</v>
      </c>
      <c r="H14" s="4" t="n">
        <v>0.5</v>
      </c>
      <c r="I14" s="4" t="n">
        <v>3698</v>
      </c>
      <c r="J14" s="4" t="n">
        <v>6692.5</v>
      </c>
      <c r="K14" s="4" t="n">
        <v>1854.2</v>
      </c>
      <c r="L14" s="4">
        <f>$K$14*30</f>
        <v/>
      </c>
      <c r="M14" s="4">
        <f>ROUND($L$14/($J$14/3),0)</f>
        <v/>
      </c>
    </row>
    <row r="15">
      <c r="B15" s="4" t="n">
        <v>312</v>
      </c>
      <c r="C15" s="4" t="n">
        <v>360</v>
      </c>
      <c r="D15" s="4" t="inlineStr">
        <is>
          <t>['弓箭手', '士兵', '弓']</t>
        </is>
      </c>
      <c r="E15" s="4" t="n">
        <v>1</v>
      </c>
      <c r="F15" s="4">
        <f>SUM($E$4:$E15)</f>
        <v/>
      </c>
      <c r="G15" s="4" t="n">
        <v>1.4</v>
      </c>
      <c r="H15" s="4" t="n">
        <v>0.5</v>
      </c>
      <c r="I15" s="4" t="n">
        <v>3698</v>
      </c>
      <c r="J15" s="4" t="n">
        <v>6947.4</v>
      </c>
      <c r="K15" s="4" t="n">
        <v>2024.6</v>
      </c>
      <c r="L15" s="4">
        <f>$K$15*30</f>
        <v/>
      </c>
      <c r="M15" s="4">
        <f>ROUND($L$15/($J$15/3),0)</f>
        <v/>
      </c>
    </row>
    <row r="16">
      <c r="B16" s="4" t="n">
        <v>313</v>
      </c>
      <c r="C16" s="4" t="n">
        <v>390</v>
      </c>
      <c r="D16" s="4" t="inlineStr">
        <is>
          <t>['弓箭手', '士兵', '弓']</t>
        </is>
      </c>
      <c r="E16" s="4" t="n">
        <v>1</v>
      </c>
      <c r="F16" s="4">
        <f>SUM($E$4:$E16)</f>
        <v/>
      </c>
      <c r="G16" s="4" t="n">
        <v>1.5</v>
      </c>
      <c r="H16" s="4" t="n">
        <v>0.6</v>
      </c>
      <c r="I16" s="4" t="n">
        <v>3698</v>
      </c>
      <c r="J16" s="4" t="n">
        <v>7205.8</v>
      </c>
      <c r="K16" s="4" t="n">
        <v>2207.5</v>
      </c>
      <c r="L16" s="4">
        <f>$K$16*30</f>
        <v/>
      </c>
      <c r="M16" s="4">
        <f>ROUND($L$16/($J$16/3),0)</f>
        <v/>
      </c>
    </row>
    <row r="17">
      <c r="B17" s="4" t="n">
        <v>314</v>
      </c>
      <c r="C17" s="4" t="n">
        <v>420</v>
      </c>
      <c r="D17" s="4" t="inlineStr">
        <is>
          <t>['弓箭手', '士兵', '弓']</t>
        </is>
      </c>
      <c r="E17" s="4" t="n">
        <v>1</v>
      </c>
      <c r="F17" s="4">
        <f>SUM($E$4:$E17)</f>
        <v/>
      </c>
      <c r="G17" s="4" t="n">
        <v>1.5</v>
      </c>
      <c r="H17" s="4" t="n">
        <v>0.6</v>
      </c>
      <c r="I17" s="4" t="n">
        <v>3698</v>
      </c>
      <c r="J17" s="4" t="n">
        <v>7467.6</v>
      </c>
      <c r="K17" s="4" t="n">
        <v>2403.4</v>
      </c>
      <c r="L17" s="4">
        <f>$K$17*30</f>
        <v/>
      </c>
      <c r="M17" s="4">
        <f>ROUND($L$17/($J$17/3),0)</f>
        <v/>
      </c>
    </row>
    <row r="18">
      <c r="B18" s="4" t="n">
        <v>315</v>
      </c>
      <c r="C18" s="4" t="n">
        <v>450</v>
      </c>
      <c r="D18" s="4" t="inlineStr">
        <is>
          <t>['弓箭手', '士兵', '弓']</t>
        </is>
      </c>
      <c r="E18" s="4" t="n">
        <v>1</v>
      </c>
      <c r="F18" s="4">
        <f>SUM($E$4:$E18)</f>
        <v/>
      </c>
      <c r="G18" s="4" t="n">
        <v>1.5</v>
      </c>
      <c r="H18" s="4" t="n">
        <v>0.6</v>
      </c>
      <c r="I18" s="4" t="n">
        <v>3698</v>
      </c>
      <c r="J18" s="4" t="n">
        <v>7733</v>
      </c>
      <c r="K18" s="4" t="n">
        <v>2613.3</v>
      </c>
      <c r="L18" s="4">
        <f>$K$18*30</f>
        <v/>
      </c>
      <c r="M18" s="4">
        <f>ROUND($L$18/($J$18/3),0)</f>
        <v/>
      </c>
    </row>
    <row r="19">
      <c r="B19" s="4" t="n">
        <v>316</v>
      </c>
      <c r="C19" s="4" t="n">
        <v>480</v>
      </c>
      <c r="D19" s="4" t="inlineStr">
        <is>
          <t>['弓箭手', '士兵', '弓']</t>
        </is>
      </c>
      <c r="E19" s="4" t="n">
        <v>1</v>
      </c>
      <c r="F19" s="4">
        <f>SUM($E$4:$E19)</f>
        <v/>
      </c>
      <c r="G19" s="4" t="n">
        <v>1.6</v>
      </c>
      <c r="H19" s="4" t="n">
        <v>0.7</v>
      </c>
      <c r="I19" s="4" t="n">
        <v>3698</v>
      </c>
      <c r="J19" s="4" t="n">
        <v>8001.9</v>
      </c>
      <c r="K19" s="4" t="n">
        <v>2838</v>
      </c>
      <c r="L19" s="4">
        <f>$K$19*30</f>
        <v/>
      </c>
      <c r="M19" s="4">
        <f>ROUND($L$19/($J$19/3),0)</f>
        <v/>
      </c>
    </row>
    <row r="20">
      <c r="B20" s="4" t="n">
        <v>317</v>
      </c>
      <c r="C20" s="4" t="n">
        <v>510</v>
      </c>
      <c r="D20" s="4" t="inlineStr">
        <is>
          <t>['弓箭手', '士兵', '弓']</t>
        </is>
      </c>
      <c r="E20" s="4" t="n">
        <v>0</v>
      </c>
      <c r="F20" s="4">
        <f>SUM($E$4:$E20)</f>
        <v/>
      </c>
      <c r="G20" s="4" t="n">
        <v>1.6</v>
      </c>
      <c r="H20" s="4" t="n">
        <v>0.7</v>
      </c>
      <c r="I20" s="4" t="n">
        <v>3698</v>
      </c>
      <c r="J20" s="4" t="n">
        <v>8001.9</v>
      </c>
      <c r="K20" s="4" t="n">
        <v>2838</v>
      </c>
      <c r="L20" s="4">
        <f>$K$20*30</f>
        <v/>
      </c>
      <c r="M20" s="4">
        <f>ROUND($L$20/($J$20/3),0)</f>
        <v/>
      </c>
    </row>
    <row r="21">
      <c r="B21" s="4" t="n">
        <v>318</v>
      </c>
      <c r="C21" s="4" t="n">
        <v>540</v>
      </c>
      <c r="D21" s="4" t="inlineStr">
        <is>
          <t>['弓箭手', '士兵', '弓']</t>
        </is>
      </c>
      <c r="E21" s="4" t="n">
        <v>1</v>
      </c>
      <c r="F21" s="4">
        <f>SUM($E$4:$E21)</f>
        <v/>
      </c>
      <c r="G21" s="4" t="n">
        <v>1.6</v>
      </c>
      <c r="H21" s="4" t="n">
        <v>0.7</v>
      </c>
      <c r="I21" s="4" t="n">
        <v>3698</v>
      </c>
      <c r="J21" s="4" t="n">
        <v>8274.299999999999</v>
      </c>
      <c r="K21" s="4" t="n">
        <v>3078.2</v>
      </c>
      <c r="L21" s="4">
        <f>$K$21*30</f>
        <v/>
      </c>
      <c r="M21" s="4">
        <f>ROUND($L$21/($J$21/3),0)</f>
        <v/>
      </c>
    </row>
    <row r="22">
      <c r="B22" s="4" t="n">
        <v>319</v>
      </c>
      <c r="C22" s="4" t="n">
        <v>570</v>
      </c>
      <c r="D22" s="4" t="inlineStr">
        <is>
          <t>['弓箭手', '士兵', '弓']</t>
        </is>
      </c>
      <c r="E22" s="4" t="n">
        <v>1</v>
      </c>
      <c r="F22" s="4">
        <f>SUM($E$4:$E22)</f>
        <v/>
      </c>
      <c r="G22" s="4" t="n">
        <v>1.7</v>
      </c>
      <c r="H22" s="4" t="n">
        <v>0.8</v>
      </c>
      <c r="I22" s="4" t="n">
        <v>3698</v>
      </c>
      <c r="J22" s="4" t="n">
        <v>8550.200000000001</v>
      </c>
      <c r="K22" s="4" t="n">
        <v>3334.8</v>
      </c>
      <c r="L22" s="4">
        <f>$K$22*30</f>
        <v/>
      </c>
      <c r="M22" s="4">
        <f>ROUND($L$22/($J$22/3),0)</f>
        <v/>
      </c>
    </row>
    <row r="23">
      <c r="B23" s="4" t="n">
        <v>320</v>
      </c>
      <c r="C23" s="4" t="n">
        <v>600</v>
      </c>
      <c r="D23" s="4" t="inlineStr">
        <is>
          <t>['弓箭手', '士兵', '弓']</t>
        </is>
      </c>
      <c r="E23" s="4" t="n">
        <v>1</v>
      </c>
      <c r="F23" s="4">
        <f>SUM($E$4:$E23)</f>
        <v/>
      </c>
      <c r="G23" s="4" t="n">
        <v>1.7</v>
      </c>
      <c r="H23" s="4" t="n">
        <v>0.8</v>
      </c>
      <c r="I23" s="4" t="n">
        <v>3698</v>
      </c>
      <c r="J23" s="4" t="n">
        <v>8829.6</v>
      </c>
      <c r="K23" s="4" t="n">
        <v>3608.9</v>
      </c>
      <c r="L23" s="4">
        <f>$K$23*30</f>
        <v/>
      </c>
      <c r="M23" s="4">
        <f>ROUND($L$23/($J$23/3),0)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19.8" customWidth="1" min="2" max="2"/>
    <col width="19.8" customWidth="1" min="3" max="3"/>
    <col width="8.800000000000001" customWidth="1" min="4" max="4"/>
    <col width="15.4" customWidth="1" min="5" max="5"/>
    <col width="11" customWidth="1" min="6" max="6"/>
    <col width="13.2" customWidth="1" min="7" max="7"/>
    <col width="24.2" customWidth="1" min="8" max="8"/>
    <col width="13.2" customWidth="1" min="9" max="9"/>
    <col width="17.6" customWidth="1" min="10" max="10"/>
    <col width="17.6" customWidth="1" min="11" max="11"/>
    <col width="19.8" customWidth="1" min="12" max="12"/>
    <col width="30.8" customWidth="1" min="13" max="13"/>
  </cols>
  <sheetData>
    <row r="1">
      <c r="A1" s="3" t="inlineStr">
        <is>
          <t>##var</t>
        </is>
      </c>
      <c r="B1" s="3" t="inlineStr">
        <is>
          <t>角色等级和波次</t>
        </is>
      </c>
      <c r="C1" s="3" t="inlineStr">
        <is>
          <t>时间点_30s</t>
        </is>
      </c>
      <c r="D1" s="3" t="inlineStr">
        <is>
          <t>阵容</t>
        </is>
      </c>
      <c r="E1" s="3" t="inlineStr">
        <is>
          <t>选技能次数</t>
        </is>
      </c>
      <c r="F1" s="3" t="inlineStr">
        <is>
          <t>总次数</t>
        </is>
      </c>
      <c r="G1" s="3" t="inlineStr">
        <is>
          <t>消除倍率</t>
        </is>
      </c>
      <c r="H1" s="3" t="inlineStr">
        <is>
          <t>每块小兵增加期望值</t>
        </is>
      </c>
      <c r="I1" s="3" t="inlineStr">
        <is>
          <t>初始战力</t>
        </is>
      </c>
      <c r="J1" s="3" t="inlineStr">
        <is>
          <t>当前阵容战力</t>
        </is>
      </c>
      <c r="K1" s="3" t="inlineStr">
        <is>
          <t>战力产出效率</t>
        </is>
      </c>
      <c r="L1" s="3" t="inlineStr">
        <is>
          <t>每波怪物总战力</t>
        </is>
      </c>
      <c r="M1" s="3" t="inlineStr">
        <is>
          <t>平均相当于多少个上阵角色</t>
        </is>
      </c>
    </row>
    <row r="2">
      <c r="A2" s="3" t="inlineStr">
        <is>
          <t>##type</t>
        </is>
      </c>
      <c r="B2" s="3" t="inlineStr">
        <is>
          <t>int</t>
        </is>
      </c>
      <c r="C2" s="3" t="inlineStr">
        <is>
          <t>float</t>
        </is>
      </c>
      <c r="D2" s="3" t="inlineStr">
        <is>
          <t>string</t>
        </is>
      </c>
      <c r="E2" s="3" t="inlineStr">
        <is>
          <t>int</t>
        </is>
      </c>
      <c r="F2" s="3" t="inlineStr">
        <is>
          <t>int</t>
        </is>
      </c>
      <c r="G2" s="3" t="inlineStr">
        <is>
          <t>float</t>
        </is>
      </c>
      <c r="H2" s="3" t="inlineStr">
        <is>
          <t>float</t>
        </is>
      </c>
      <c r="I2" s="3" t="inlineStr">
        <is>
          <t>float</t>
        </is>
      </c>
      <c r="J2" s="3" t="inlineStr">
        <is>
          <t>float</t>
        </is>
      </c>
      <c r="K2" s="3" t="inlineStr">
        <is>
          <t>float</t>
        </is>
      </c>
      <c r="L2" s="3" t="inlineStr">
        <is>
          <t>float</t>
        </is>
      </c>
      <c r="M2" s="3" t="inlineStr">
        <is>
          <t>float</t>
        </is>
      </c>
    </row>
    <row r="3">
      <c r="A3" s="3" t="inlineStr">
        <is>
          <t>##</t>
        </is>
      </c>
      <c r="B3" s="3" t="inlineStr">
        <is>
          <t>角色等级和波次</t>
        </is>
      </c>
      <c r="C3" s="3" t="inlineStr">
        <is>
          <t>时间点_30s</t>
        </is>
      </c>
      <c r="D3" s="3" t="inlineStr">
        <is>
          <t>阵容</t>
        </is>
      </c>
      <c r="E3" s="3" t="inlineStr">
        <is>
          <t>选技能次数</t>
        </is>
      </c>
      <c r="F3" s="3" t="inlineStr">
        <is>
          <t>总次数</t>
        </is>
      </c>
      <c r="G3" s="3" t="inlineStr">
        <is>
          <t>消除倍率</t>
        </is>
      </c>
      <c r="H3" s="3" t="inlineStr">
        <is>
          <t>每块小兵增加期望值</t>
        </is>
      </c>
      <c r="I3" s="3" t="inlineStr">
        <is>
          <t>初始战力</t>
        </is>
      </c>
      <c r="J3" s="3" t="inlineStr">
        <is>
          <t>当前阵容战力</t>
        </is>
      </c>
      <c r="K3" s="3" t="inlineStr">
        <is>
          <t>战力产出效率</t>
        </is>
      </c>
      <c r="L3" s="3" t="inlineStr">
        <is>
          <t>每波怪物总战力</t>
        </is>
      </c>
      <c r="M3" s="3" t="inlineStr">
        <is>
          <t>平均相当于多少个上阵角色</t>
        </is>
      </c>
    </row>
    <row r="4">
      <c r="B4" s="4" t="n">
        <v>201</v>
      </c>
      <c r="C4" s="4" t="n">
        <v>30</v>
      </c>
      <c r="D4" s="4" t="inlineStr">
        <is>
          <t>['弓箭手', '士兵', '弓']</t>
        </is>
      </c>
      <c r="E4" s="4" t="n">
        <v>1</v>
      </c>
      <c r="F4" s="4">
        <f>SUM($E$4:$E4)</f>
        <v/>
      </c>
      <c r="G4" s="4" t="n">
        <v>1</v>
      </c>
      <c r="H4" s="4" t="n">
        <v>0</v>
      </c>
      <c r="I4" s="4" t="n">
        <v>2730.9</v>
      </c>
      <c r="J4" s="4" t="n">
        <v>2884.1</v>
      </c>
      <c r="K4" s="4" t="n">
        <v>409.4</v>
      </c>
      <c r="L4" s="4">
        <f>$K$4*30</f>
        <v/>
      </c>
      <c r="M4" s="4">
        <f>ROUND($L$4/($J$4/3),0)</f>
        <v/>
      </c>
    </row>
    <row r="5">
      <c r="B5" s="4" t="n">
        <v>202</v>
      </c>
      <c r="C5" s="4" t="n">
        <v>60</v>
      </c>
      <c r="D5" s="4" t="inlineStr">
        <is>
          <t>['弓箭手', '士兵', '弓']</t>
        </is>
      </c>
      <c r="E5" s="4" t="n">
        <v>2</v>
      </c>
      <c r="F5" s="4">
        <f>SUM($E$4:$E5)</f>
        <v/>
      </c>
      <c r="G5" s="4" t="n">
        <v>1.1</v>
      </c>
      <c r="H5" s="4" t="n">
        <v>0.1</v>
      </c>
      <c r="I5" s="4" t="n">
        <v>2730.9</v>
      </c>
      <c r="J5" s="4" t="n">
        <v>3198.2</v>
      </c>
      <c r="K5" s="4" t="n">
        <v>512.5</v>
      </c>
      <c r="L5" s="4">
        <f>$K$5*30</f>
        <v/>
      </c>
      <c r="M5" s="4">
        <f>ROUND($L$5/($J$5/3),0)</f>
        <v/>
      </c>
    </row>
    <row r="6">
      <c r="B6" s="4" t="n">
        <v>203</v>
      </c>
      <c r="C6" s="4" t="n">
        <v>90</v>
      </c>
      <c r="D6" s="4" t="inlineStr">
        <is>
          <t>['弓箭手', '士兵', '弓']</t>
        </is>
      </c>
      <c r="E6" s="4" t="n">
        <v>1</v>
      </c>
      <c r="F6" s="4">
        <f>SUM($E$4:$E6)</f>
        <v/>
      </c>
      <c r="G6" s="4" t="n">
        <v>1.1</v>
      </c>
      <c r="H6" s="4" t="n">
        <v>0.2</v>
      </c>
      <c r="I6" s="4" t="n">
        <v>2730.9</v>
      </c>
      <c r="J6" s="4" t="n">
        <v>3359.1</v>
      </c>
      <c r="K6" s="4" t="n">
        <v>571</v>
      </c>
      <c r="L6" s="4">
        <f>$K$6*30</f>
        <v/>
      </c>
      <c r="M6" s="4">
        <f>ROUND($L$6/($J$6/3),0)</f>
        <v/>
      </c>
    </row>
    <row r="7">
      <c r="B7" s="4" t="n">
        <v>204</v>
      </c>
      <c r="C7" s="4" t="n">
        <v>120</v>
      </c>
      <c r="D7" s="4" t="inlineStr">
        <is>
          <t>['弓箭手', '士兵', '弓']</t>
        </is>
      </c>
      <c r="E7" s="4" t="n">
        <v>1</v>
      </c>
      <c r="F7" s="4">
        <f>SUM($E$4:$E7)</f>
        <v/>
      </c>
      <c r="G7" s="4" t="n">
        <v>1.1</v>
      </c>
      <c r="H7" s="4" t="n">
        <v>0.2</v>
      </c>
      <c r="I7" s="4" t="n">
        <v>2730.9</v>
      </c>
      <c r="J7" s="4" t="n">
        <v>3522.6</v>
      </c>
      <c r="K7" s="4" t="n">
        <v>634.4</v>
      </c>
      <c r="L7" s="4">
        <f>$K$7*30</f>
        <v/>
      </c>
      <c r="M7" s="4">
        <f>ROUND($L$7/($J$7/3),0)</f>
        <v/>
      </c>
    </row>
    <row r="8">
      <c r="B8" s="4" t="n">
        <v>205</v>
      </c>
      <c r="C8" s="4" t="n">
        <v>150</v>
      </c>
      <c r="D8" s="4" t="inlineStr">
        <is>
          <t>['弓箭手', '士兵', '弓']</t>
        </is>
      </c>
      <c r="E8" s="4" t="n">
        <v>1</v>
      </c>
      <c r="F8" s="4">
        <f>SUM($E$4:$E8)</f>
        <v/>
      </c>
      <c r="G8" s="4" t="n">
        <v>1.2</v>
      </c>
      <c r="H8" s="4" t="n">
        <v>0.2</v>
      </c>
      <c r="I8" s="4" t="n">
        <v>2730.9</v>
      </c>
      <c r="J8" s="4" t="n">
        <v>3688.6</v>
      </c>
      <c r="K8" s="4" t="n">
        <v>703.1</v>
      </c>
      <c r="L8" s="4">
        <f>$K$8*30</f>
        <v/>
      </c>
      <c r="M8" s="4">
        <f>ROUND($L$8/($J$8/3),0)</f>
        <v/>
      </c>
    </row>
    <row r="9">
      <c r="B9" s="4" t="n">
        <v>206</v>
      </c>
      <c r="C9" s="4" t="n">
        <v>180</v>
      </c>
      <c r="D9" s="4" t="inlineStr">
        <is>
          <t>['弓箭手', '士兵', '弓']</t>
        </is>
      </c>
      <c r="E9" s="4" t="n">
        <v>1</v>
      </c>
      <c r="F9" s="4">
        <f>SUM($E$4:$E9)</f>
        <v/>
      </c>
      <c r="G9" s="4" t="n">
        <v>1.2</v>
      </c>
      <c r="H9" s="4" t="n">
        <v>0.3</v>
      </c>
      <c r="I9" s="4" t="n">
        <v>2730.9</v>
      </c>
      <c r="J9" s="4" t="n">
        <v>3857.2</v>
      </c>
      <c r="K9" s="4" t="n">
        <v>777.5</v>
      </c>
      <c r="L9" s="4">
        <f>$K$9*30</f>
        <v/>
      </c>
      <c r="M9" s="4">
        <f>ROUND($L$9/($J$9/3),0)</f>
        <v/>
      </c>
    </row>
    <row r="10">
      <c r="B10" s="4" t="n">
        <v>207</v>
      </c>
      <c r="C10" s="4" t="n">
        <v>210</v>
      </c>
      <c r="D10" s="4" t="inlineStr">
        <is>
          <t>['弓箭手', '士兵', '弓']</t>
        </is>
      </c>
      <c r="E10" s="4" t="n">
        <v>2</v>
      </c>
      <c r="F10" s="4">
        <f>SUM($E$4:$E10)</f>
        <v/>
      </c>
      <c r="G10" s="4" t="n">
        <v>1.3</v>
      </c>
      <c r="H10" s="4" t="n">
        <v>0.3</v>
      </c>
      <c r="I10" s="4" t="n">
        <v>2730.9</v>
      </c>
      <c r="J10" s="4" t="n">
        <v>4202</v>
      </c>
      <c r="K10" s="4" t="n">
        <v>944.7</v>
      </c>
      <c r="L10" s="4">
        <f>$K$10*30</f>
        <v/>
      </c>
      <c r="M10" s="4">
        <f>ROUND($L$10/($J$10/3),0)</f>
        <v/>
      </c>
    </row>
    <row r="11">
      <c r="B11" s="4" t="n">
        <v>208</v>
      </c>
      <c r="C11" s="4" t="n">
        <v>240</v>
      </c>
      <c r="D11" s="4" t="inlineStr">
        <is>
          <t>['弓箭手', '士兵', '弓']</t>
        </is>
      </c>
      <c r="E11" s="4" t="n">
        <v>1</v>
      </c>
      <c r="F11" s="4">
        <f>SUM($E$4:$E11)</f>
        <v/>
      </c>
      <c r="G11" s="4" t="n">
        <v>1.3</v>
      </c>
      <c r="H11" s="4" t="n">
        <v>0.4</v>
      </c>
      <c r="I11" s="4" t="n">
        <v>2730.9</v>
      </c>
      <c r="J11" s="4" t="n">
        <v>4378.3</v>
      </c>
      <c r="K11" s="4" t="n">
        <v>1038.2</v>
      </c>
      <c r="L11" s="4">
        <f>$K$11*30</f>
        <v/>
      </c>
      <c r="M11" s="4">
        <f>ROUND($L$11/($J$11/3),0)</f>
        <v/>
      </c>
    </row>
    <row r="12">
      <c r="B12" s="4" t="n">
        <v>209</v>
      </c>
      <c r="C12" s="4" t="n">
        <v>270</v>
      </c>
      <c r="D12" s="4" t="inlineStr">
        <is>
          <t>['弓箭手', '士兵', '弓']</t>
        </is>
      </c>
      <c r="E12" s="4" t="n">
        <v>1</v>
      </c>
      <c r="F12" s="4">
        <f>SUM($E$4:$E12)</f>
        <v/>
      </c>
      <c r="G12" s="4" t="n">
        <v>1.3</v>
      </c>
      <c r="H12" s="4" t="n">
        <v>0.4</v>
      </c>
      <c r="I12" s="4" t="n">
        <v>2730.9</v>
      </c>
      <c r="J12" s="4" t="n">
        <v>4557.1</v>
      </c>
      <c r="K12" s="4" t="n">
        <v>1138.9</v>
      </c>
      <c r="L12" s="4">
        <f>$K$12*30</f>
        <v/>
      </c>
      <c r="M12" s="4">
        <f>ROUND($L$12/($J$12/3),0)</f>
        <v/>
      </c>
    </row>
    <row r="13">
      <c r="B13" s="4" t="n">
        <v>210</v>
      </c>
      <c r="C13" s="4" t="n">
        <v>300</v>
      </c>
      <c r="D13" s="4" t="inlineStr">
        <is>
          <t>['弓箭手', '士兵', '弓']</t>
        </is>
      </c>
      <c r="E13" s="4" t="n">
        <v>1</v>
      </c>
      <c r="F13" s="4">
        <f>SUM($E$4:$E13)</f>
        <v/>
      </c>
      <c r="G13" s="4" t="n">
        <v>1.4</v>
      </c>
      <c r="H13" s="4" t="n">
        <v>0.5</v>
      </c>
      <c r="I13" s="4" t="n">
        <v>2730.9</v>
      </c>
      <c r="J13" s="4" t="n">
        <v>4738.4</v>
      </c>
      <c r="K13" s="4" t="n">
        <v>1247.3</v>
      </c>
      <c r="L13" s="4">
        <f>$K$13*30</f>
        <v/>
      </c>
      <c r="M13" s="4">
        <f>ROUND($L$13/($J$13/3),0)</f>
        <v/>
      </c>
    </row>
    <row r="14">
      <c r="B14" s="4" t="n">
        <v>211</v>
      </c>
      <c r="C14" s="4" t="n">
        <v>330</v>
      </c>
      <c r="D14" s="4" t="inlineStr">
        <is>
          <t>['弓箭手', '士兵', '弓']</t>
        </is>
      </c>
      <c r="E14" s="4" t="n">
        <v>1</v>
      </c>
      <c r="F14" s="4">
        <f>SUM($E$4:$E14)</f>
        <v/>
      </c>
      <c r="G14" s="4" t="n">
        <v>1.4</v>
      </c>
      <c r="H14" s="4" t="n">
        <v>0.5</v>
      </c>
      <c r="I14" s="4" t="n">
        <v>2730.9</v>
      </c>
      <c r="J14" s="4" t="n">
        <v>4922.4</v>
      </c>
      <c r="K14" s="4" t="n">
        <v>1363.8</v>
      </c>
      <c r="L14" s="4">
        <f>$K$14*30</f>
        <v/>
      </c>
      <c r="M14" s="4">
        <f>ROUND($L$14/($J$14/3),0)</f>
        <v/>
      </c>
    </row>
    <row r="15">
      <c r="B15" s="4" t="n">
        <v>212</v>
      </c>
      <c r="C15" s="4" t="n">
        <v>360</v>
      </c>
      <c r="D15" s="4" t="inlineStr">
        <is>
          <t>['弓箭手', '士兵', '弓']</t>
        </is>
      </c>
      <c r="E15" s="4" t="n">
        <v>1</v>
      </c>
      <c r="F15" s="4">
        <f>SUM($E$4:$E15)</f>
        <v/>
      </c>
      <c r="G15" s="4" t="n">
        <v>1.4</v>
      </c>
      <c r="H15" s="4" t="n">
        <v>0.5</v>
      </c>
      <c r="I15" s="4" t="n">
        <v>2730.9</v>
      </c>
      <c r="J15" s="4" t="n">
        <v>5108.9</v>
      </c>
      <c r="K15" s="4" t="n">
        <v>1488.8</v>
      </c>
      <c r="L15" s="4">
        <f>$K$15*30</f>
        <v/>
      </c>
      <c r="M15" s="4">
        <f>ROUND($L$15/($J$15/3),0)</f>
        <v/>
      </c>
    </row>
    <row r="16">
      <c r="B16" s="4" t="n">
        <v>213</v>
      </c>
      <c r="C16" s="4" t="n">
        <v>390</v>
      </c>
      <c r="D16" s="4" t="inlineStr">
        <is>
          <t>['弓箭手', '士兵', '弓']</t>
        </is>
      </c>
      <c r="E16" s="4" t="n">
        <v>1</v>
      </c>
      <c r="F16" s="4">
        <f>SUM($E$4:$E16)</f>
        <v/>
      </c>
      <c r="G16" s="4" t="n">
        <v>1.5</v>
      </c>
      <c r="H16" s="4" t="n">
        <v>0.6</v>
      </c>
      <c r="I16" s="4" t="n">
        <v>2730.9</v>
      </c>
      <c r="J16" s="4" t="n">
        <v>5297.9</v>
      </c>
      <c r="K16" s="4" t="n">
        <v>1623</v>
      </c>
      <c r="L16" s="4">
        <f>$K$16*30</f>
        <v/>
      </c>
      <c r="M16" s="4">
        <f>ROUND($L$16/($J$16/3),0)</f>
        <v/>
      </c>
    </row>
    <row r="17">
      <c r="B17" s="4" t="n">
        <v>214</v>
      </c>
      <c r="C17" s="4" t="n">
        <v>420</v>
      </c>
      <c r="D17" s="4" t="inlineStr">
        <is>
          <t>['弓箭手', '士兵', '弓']</t>
        </is>
      </c>
      <c r="E17" s="4" t="n">
        <v>1</v>
      </c>
      <c r="F17" s="4">
        <f>SUM($E$4:$E17)</f>
        <v/>
      </c>
      <c r="G17" s="4" t="n">
        <v>1.5</v>
      </c>
      <c r="H17" s="4" t="n">
        <v>0.6</v>
      </c>
      <c r="I17" s="4" t="n">
        <v>2730.9</v>
      </c>
      <c r="J17" s="4" t="n">
        <v>5489.5</v>
      </c>
      <c r="K17" s="4" t="n">
        <v>1766.8</v>
      </c>
      <c r="L17" s="4">
        <f>$K$17*30</f>
        <v/>
      </c>
      <c r="M17" s="4">
        <f>ROUND($L$17/($J$17/3),0)</f>
        <v/>
      </c>
    </row>
    <row r="18">
      <c r="B18" s="4" t="n">
        <v>215</v>
      </c>
      <c r="C18" s="4" t="n">
        <v>450</v>
      </c>
      <c r="D18" s="4" t="inlineStr">
        <is>
          <t>['弓箭手', '士兵', '弓']</t>
        </is>
      </c>
      <c r="E18" s="4" t="n">
        <v>1</v>
      </c>
      <c r="F18" s="4">
        <f>SUM($E$4:$E18)</f>
        <v/>
      </c>
      <c r="G18" s="4" t="n">
        <v>1.5</v>
      </c>
      <c r="H18" s="4" t="n">
        <v>0.6</v>
      </c>
      <c r="I18" s="4" t="n">
        <v>2730.9</v>
      </c>
      <c r="J18" s="4" t="n">
        <v>5683.7</v>
      </c>
      <c r="K18" s="4" t="n">
        <v>1920.8</v>
      </c>
      <c r="L18" s="4">
        <f>$K$18*30</f>
        <v/>
      </c>
      <c r="M18" s="4">
        <f>ROUND($L$18/($J$18/3),0)</f>
        <v/>
      </c>
    </row>
    <row r="19">
      <c r="B19" s="4" t="n">
        <v>216</v>
      </c>
      <c r="C19" s="4" t="n">
        <v>480</v>
      </c>
      <c r="D19" s="4" t="inlineStr">
        <is>
          <t>['弓箭手', '士兵', '弓']</t>
        </is>
      </c>
      <c r="E19" s="4" t="n">
        <v>1</v>
      </c>
      <c r="F19" s="4">
        <f>SUM($E$4:$E19)</f>
        <v/>
      </c>
      <c r="G19" s="4" t="n">
        <v>1.6</v>
      </c>
      <c r="H19" s="4" t="n">
        <v>0.7</v>
      </c>
      <c r="I19" s="4" t="n">
        <v>2730.9</v>
      </c>
      <c r="J19" s="4" t="n">
        <v>5880.4</v>
      </c>
      <c r="K19" s="4" t="n">
        <v>2085.6</v>
      </c>
      <c r="L19" s="4">
        <f>$K$19*30</f>
        <v/>
      </c>
      <c r="M19" s="4">
        <f>ROUND($L$19/($J$19/3),0)</f>
        <v/>
      </c>
    </row>
    <row r="20">
      <c r="B20" s="4" t="n">
        <v>217</v>
      </c>
      <c r="C20" s="4" t="n">
        <v>510</v>
      </c>
      <c r="D20" s="4" t="inlineStr">
        <is>
          <t>['弓箭手', '士兵', '弓']</t>
        </is>
      </c>
      <c r="E20" s="4" t="n">
        <v>0</v>
      </c>
      <c r="F20" s="4">
        <f>SUM($E$4:$E20)</f>
        <v/>
      </c>
      <c r="G20" s="4" t="n">
        <v>1.6</v>
      </c>
      <c r="H20" s="4" t="n">
        <v>0.7</v>
      </c>
      <c r="I20" s="4" t="n">
        <v>2730.9</v>
      </c>
      <c r="J20" s="4" t="n">
        <v>5880.4</v>
      </c>
      <c r="K20" s="4" t="n">
        <v>2085.6</v>
      </c>
      <c r="L20" s="4">
        <f>$K$20*30</f>
        <v/>
      </c>
      <c r="M20" s="4">
        <f>ROUND($L$20/($J$20/3),0)</f>
        <v/>
      </c>
    </row>
    <row r="21">
      <c r="B21" s="4" t="n">
        <v>218</v>
      </c>
      <c r="C21" s="4" t="n">
        <v>540</v>
      </c>
      <c r="D21" s="4" t="inlineStr">
        <is>
          <t>['弓箭手', '士兵', '弓']</t>
        </is>
      </c>
      <c r="E21" s="4" t="n">
        <v>1</v>
      </c>
      <c r="F21" s="4">
        <f>SUM($E$4:$E21)</f>
        <v/>
      </c>
      <c r="G21" s="4" t="n">
        <v>1.6</v>
      </c>
      <c r="H21" s="4" t="n">
        <v>0.7</v>
      </c>
      <c r="I21" s="4" t="n">
        <v>2730.9</v>
      </c>
      <c r="J21" s="4" t="n">
        <v>6079.7</v>
      </c>
      <c r="K21" s="4" t="n">
        <v>2261.7</v>
      </c>
      <c r="L21" s="4">
        <f>$K$21*30</f>
        <v/>
      </c>
      <c r="M21" s="4">
        <f>ROUND($L$21/($J$21/3),0)</f>
        <v/>
      </c>
    </row>
    <row r="22">
      <c r="B22" s="4" t="n">
        <v>219</v>
      </c>
      <c r="C22" s="4" t="n">
        <v>570</v>
      </c>
      <c r="D22" s="4" t="inlineStr">
        <is>
          <t>['弓箭手', '士兵', '弓']</t>
        </is>
      </c>
      <c r="E22" s="4" t="n">
        <v>1</v>
      </c>
      <c r="F22" s="4">
        <f>SUM($E$4:$E22)</f>
        <v/>
      </c>
      <c r="G22" s="4" t="n">
        <v>1.7</v>
      </c>
      <c r="H22" s="4" t="n">
        <v>0.8</v>
      </c>
      <c r="I22" s="4" t="n">
        <v>2730.9</v>
      </c>
      <c r="J22" s="4" t="n">
        <v>6281.5</v>
      </c>
      <c r="K22" s="4" t="n">
        <v>2450</v>
      </c>
      <c r="L22" s="4">
        <f>$K$22*30</f>
        <v/>
      </c>
      <c r="M22" s="4">
        <f>ROUND($L$22/($J$22/3),0)</f>
        <v/>
      </c>
    </row>
    <row r="23">
      <c r="B23" s="4" t="n">
        <v>220</v>
      </c>
      <c r="C23" s="4" t="n">
        <v>600</v>
      </c>
      <c r="D23" s="4" t="inlineStr">
        <is>
          <t>['弓箭手', '士兵', '弓']</t>
        </is>
      </c>
      <c r="E23" s="4" t="n">
        <v>1</v>
      </c>
      <c r="F23" s="4">
        <f>SUM($E$4:$E23)</f>
        <v/>
      </c>
      <c r="G23" s="4" t="n">
        <v>1.7</v>
      </c>
      <c r="H23" s="4" t="n">
        <v>0.8</v>
      </c>
      <c r="I23" s="4" t="n">
        <v>2730.9</v>
      </c>
      <c r="J23" s="4" t="n">
        <v>6486</v>
      </c>
      <c r="K23" s="4" t="n">
        <v>2651</v>
      </c>
      <c r="L23" s="4">
        <f>$K$23*30</f>
        <v/>
      </c>
      <c r="M23" s="4">
        <f>ROUND($L$23/($J$23/3),0)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19.8" customWidth="1" min="2" max="2"/>
    <col width="19.8" customWidth="1" min="3" max="3"/>
    <col width="8.800000000000001" customWidth="1" min="4" max="4"/>
    <col width="15.4" customWidth="1" min="5" max="5"/>
    <col width="11" customWidth="1" min="6" max="6"/>
    <col width="13.2" customWidth="1" min="7" max="7"/>
    <col width="24.2" customWidth="1" min="8" max="8"/>
    <col width="13.2" customWidth="1" min="9" max="9"/>
    <col width="17.6" customWidth="1" min="10" max="10"/>
    <col width="17.6" customWidth="1" min="11" max="11"/>
    <col width="19.8" customWidth="1" min="12" max="12"/>
    <col width="30.8" customWidth="1" min="13" max="13"/>
  </cols>
  <sheetData>
    <row r="1">
      <c r="A1" s="3" t="inlineStr">
        <is>
          <t>##var</t>
        </is>
      </c>
      <c r="B1" s="3" t="inlineStr">
        <is>
          <t>角色等级和波次</t>
        </is>
      </c>
      <c r="C1" s="3" t="inlineStr">
        <is>
          <t>时间点_30s</t>
        </is>
      </c>
      <c r="D1" s="3" t="inlineStr">
        <is>
          <t>阵容</t>
        </is>
      </c>
      <c r="E1" s="3" t="inlineStr">
        <is>
          <t>选技能次数</t>
        </is>
      </c>
      <c r="F1" s="3" t="inlineStr">
        <is>
          <t>总次数</t>
        </is>
      </c>
      <c r="G1" s="3" t="inlineStr">
        <is>
          <t>消除倍率</t>
        </is>
      </c>
      <c r="H1" s="3" t="inlineStr">
        <is>
          <t>每块小兵增加期望值</t>
        </is>
      </c>
      <c r="I1" s="3" t="inlineStr">
        <is>
          <t>初始战力</t>
        </is>
      </c>
      <c r="J1" s="3" t="inlineStr">
        <is>
          <t>当前阵容战力</t>
        </is>
      </c>
      <c r="K1" s="3" t="inlineStr">
        <is>
          <t>战力产出效率</t>
        </is>
      </c>
      <c r="L1" s="3" t="inlineStr">
        <is>
          <t>每波怪物总战力</t>
        </is>
      </c>
      <c r="M1" s="3" t="inlineStr">
        <is>
          <t>平均相当于多少个上阵角色</t>
        </is>
      </c>
    </row>
    <row r="2">
      <c r="A2" s="3" t="inlineStr">
        <is>
          <t>##type</t>
        </is>
      </c>
      <c r="B2" s="3" t="inlineStr">
        <is>
          <t>int</t>
        </is>
      </c>
      <c r="C2" s="3" t="inlineStr">
        <is>
          <t>float</t>
        </is>
      </c>
      <c r="D2" s="3" t="inlineStr">
        <is>
          <t>string</t>
        </is>
      </c>
      <c r="E2" s="3" t="inlineStr">
        <is>
          <t>int</t>
        </is>
      </c>
      <c r="F2" s="3" t="inlineStr">
        <is>
          <t>int</t>
        </is>
      </c>
      <c r="G2" s="3" t="inlineStr">
        <is>
          <t>float</t>
        </is>
      </c>
      <c r="H2" s="3" t="inlineStr">
        <is>
          <t>float</t>
        </is>
      </c>
      <c r="I2" s="3" t="inlineStr">
        <is>
          <t>float</t>
        </is>
      </c>
      <c r="J2" s="3" t="inlineStr">
        <is>
          <t>float</t>
        </is>
      </c>
      <c r="K2" s="3" t="inlineStr">
        <is>
          <t>float</t>
        </is>
      </c>
      <c r="L2" s="3" t="inlineStr">
        <is>
          <t>float</t>
        </is>
      </c>
      <c r="M2" s="3" t="inlineStr">
        <is>
          <t>float</t>
        </is>
      </c>
    </row>
    <row r="3">
      <c r="A3" s="3" t="inlineStr">
        <is>
          <t>##</t>
        </is>
      </c>
      <c r="B3" s="3" t="inlineStr">
        <is>
          <t>角色等级和波次</t>
        </is>
      </c>
      <c r="C3" s="3" t="inlineStr">
        <is>
          <t>时间点_30s</t>
        </is>
      </c>
      <c r="D3" s="3" t="inlineStr">
        <is>
          <t>阵容</t>
        </is>
      </c>
      <c r="E3" s="3" t="inlineStr">
        <is>
          <t>选技能次数</t>
        </is>
      </c>
      <c r="F3" s="3" t="inlineStr">
        <is>
          <t>总次数</t>
        </is>
      </c>
      <c r="G3" s="3" t="inlineStr">
        <is>
          <t>消除倍率</t>
        </is>
      </c>
      <c r="H3" s="3" t="inlineStr">
        <is>
          <t>每块小兵增加期望值</t>
        </is>
      </c>
      <c r="I3" s="3" t="inlineStr">
        <is>
          <t>初始战力</t>
        </is>
      </c>
      <c r="J3" s="3" t="inlineStr">
        <is>
          <t>当前阵容战力</t>
        </is>
      </c>
      <c r="K3" s="3" t="inlineStr">
        <is>
          <t>战力产出效率</t>
        </is>
      </c>
      <c r="L3" s="3" t="inlineStr">
        <is>
          <t>每波怪物总战力</t>
        </is>
      </c>
      <c r="M3" s="3" t="inlineStr">
        <is>
          <t>平均相当于多少个上阵角色</t>
        </is>
      </c>
    </row>
    <row r="4">
      <c r="B4" s="4" t="n">
        <v>101</v>
      </c>
      <c r="C4" s="4" t="n">
        <v>30</v>
      </c>
      <c r="D4" s="4" t="inlineStr">
        <is>
          <t>['弓箭手', '士兵', '弓']</t>
        </is>
      </c>
      <c r="E4" s="4" t="n">
        <v>1</v>
      </c>
      <c r="F4" s="4">
        <f>SUM($E$4:$E4)</f>
        <v/>
      </c>
      <c r="G4" s="4" t="n">
        <v>1</v>
      </c>
      <c r="H4" s="4" t="n">
        <v>0</v>
      </c>
      <c r="I4" s="4" t="n">
        <v>2184.7</v>
      </c>
      <c r="J4" s="4" t="n">
        <v>2307.3</v>
      </c>
      <c r="K4" s="4" t="n">
        <v>327.5</v>
      </c>
      <c r="L4" s="4">
        <f>$K$4*30</f>
        <v/>
      </c>
      <c r="M4" s="4">
        <f>ROUND($L$4/($J$4/3),0)</f>
        <v/>
      </c>
    </row>
    <row r="5">
      <c r="B5" s="4" t="n">
        <v>102</v>
      </c>
      <c r="C5" s="4" t="n">
        <v>60</v>
      </c>
      <c r="D5" s="4" t="inlineStr">
        <is>
          <t>['弓箭手', '士兵', '弓']</t>
        </is>
      </c>
      <c r="E5" s="4" t="n">
        <v>2</v>
      </c>
      <c r="F5" s="4">
        <f>SUM($E$4:$E5)</f>
        <v/>
      </c>
      <c r="G5" s="4" t="n">
        <v>1.1</v>
      </c>
      <c r="H5" s="4" t="n">
        <v>0.1</v>
      </c>
      <c r="I5" s="4" t="n">
        <v>2184.7</v>
      </c>
      <c r="J5" s="4" t="n">
        <v>2558.6</v>
      </c>
      <c r="K5" s="4" t="n">
        <v>410</v>
      </c>
      <c r="L5" s="4">
        <f>$K$5*30</f>
        <v/>
      </c>
      <c r="M5" s="4">
        <f>ROUND($L$5/($J$5/3),0)</f>
        <v/>
      </c>
    </row>
    <row r="6">
      <c r="B6" s="4" t="n">
        <v>103</v>
      </c>
      <c r="C6" s="4" t="n">
        <v>90</v>
      </c>
      <c r="D6" s="4" t="inlineStr">
        <is>
          <t>['弓箭手', '士兵', '弓']</t>
        </is>
      </c>
      <c r="E6" s="4" t="n">
        <v>1</v>
      </c>
      <c r="F6" s="4">
        <f>SUM($E$4:$E6)</f>
        <v/>
      </c>
      <c r="G6" s="4" t="n">
        <v>1.1</v>
      </c>
      <c r="H6" s="4" t="n">
        <v>0.2</v>
      </c>
      <c r="I6" s="4" t="n">
        <v>2184.7</v>
      </c>
      <c r="J6" s="4" t="n">
        <v>2687.3</v>
      </c>
      <c r="K6" s="4" t="n">
        <v>456.8</v>
      </c>
      <c r="L6" s="4">
        <f>$K$6*30</f>
        <v/>
      </c>
      <c r="M6" s="4">
        <f>ROUND($L$6/($J$6/3),0)</f>
        <v/>
      </c>
    </row>
    <row r="7">
      <c r="B7" s="4" t="n">
        <v>104</v>
      </c>
      <c r="C7" s="4" t="n">
        <v>120</v>
      </c>
      <c r="D7" s="4" t="inlineStr">
        <is>
          <t>['弓箭手', '士兵', '弓']</t>
        </is>
      </c>
      <c r="E7" s="4" t="n">
        <v>1</v>
      </c>
      <c r="F7" s="4">
        <f>SUM($E$4:$E7)</f>
        <v/>
      </c>
      <c r="G7" s="4" t="n">
        <v>1.1</v>
      </c>
      <c r="H7" s="4" t="n">
        <v>0.2</v>
      </c>
      <c r="I7" s="4" t="n">
        <v>2184.7</v>
      </c>
      <c r="J7" s="4" t="n">
        <v>2818.1</v>
      </c>
      <c r="K7" s="4" t="n">
        <v>507.5</v>
      </c>
      <c r="L7" s="4">
        <f>$K$7*30</f>
        <v/>
      </c>
      <c r="M7" s="4">
        <f>ROUND($L$7/($J$7/3),0)</f>
        <v/>
      </c>
    </row>
    <row r="8">
      <c r="B8" s="4" t="n">
        <v>105</v>
      </c>
      <c r="C8" s="4" t="n">
        <v>150</v>
      </c>
      <c r="D8" s="4" t="inlineStr">
        <is>
          <t>['弓箭手', '士兵', '弓']</t>
        </is>
      </c>
      <c r="E8" s="4" t="n">
        <v>1</v>
      </c>
      <c r="F8" s="4">
        <f>SUM($E$4:$E8)</f>
        <v/>
      </c>
      <c r="G8" s="4" t="n">
        <v>1.2</v>
      </c>
      <c r="H8" s="4" t="n">
        <v>0.2</v>
      </c>
      <c r="I8" s="4" t="n">
        <v>2184.7</v>
      </c>
      <c r="J8" s="4" t="n">
        <v>2950.9</v>
      </c>
      <c r="K8" s="4" t="n">
        <v>562.5</v>
      </c>
      <c r="L8" s="4">
        <f>$K$8*30</f>
        <v/>
      </c>
      <c r="M8" s="4">
        <f>ROUND($L$8/($J$8/3),0)</f>
        <v/>
      </c>
    </row>
    <row r="9">
      <c r="B9" s="4" t="n">
        <v>106</v>
      </c>
      <c r="C9" s="4" t="n">
        <v>180</v>
      </c>
      <c r="D9" s="4" t="inlineStr">
        <is>
          <t>['弓箭手', '士兵', '弓']</t>
        </is>
      </c>
      <c r="E9" s="4" t="n">
        <v>1</v>
      </c>
      <c r="F9" s="4">
        <f>SUM($E$4:$E9)</f>
        <v/>
      </c>
      <c r="G9" s="4" t="n">
        <v>1.2</v>
      </c>
      <c r="H9" s="4" t="n">
        <v>0.3</v>
      </c>
      <c r="I9" s="4" t="n">
        <v>2184.7</v>
      </c>
      <c r="J9" s="4" t="n">
        <v>3085.7</v>
      </c>
      <c r="K9" s="4" t="n">
        <v>622</v>
      </c>
      <c r="L9" s="4">
        <f>$K$9*30</f>
        <v/>
      </c>
      <c r="M9" s="4">
        <f>ROUND($L$9/($J$9/3),0)</f>
        <v/>
      </c>
    </row>
    <row r="10">
      <c r="B10" s="4" t="n">
        <v>107</v>
      </c>
      <c r="C10" s="4" t="n">
        <v>210</v>
      </c>
      <c r="D10" s="4" t="inlineStr">
        <is>
          <t>['弓箭手', '士兵', '弓']</t>
        </is>
      </c>
      <c r="E10" s="4" t="n">
        <v>2</v>
      </c>
      <c r="F10" s="4">
        <f>SUM($E$4:$E10)</f>
        <v/>
      </c>
      <c r="G10" s="4" t="n">
        <v>1.3</v>
      </c>
      <c r="H10" s="4" t="n">
        <v>0.3</v>
      </c>
      <c r="I10" s="4" t="n">
        <v>2184.7</v>
      </c>
      <c r="J10" s="4" t="n">
        <v>3361.6</v>
      </c>
      <c r="K10" s="4" t="n">
        <v>755.7</v>
      </c>
      <c r="L10" s="4">
        <f>$K$10*30</f>
        <v/>
      </c>
      <c r="M10" s="4">
        <f>ROUND($L$10/($J$10/3),0)</f>
        <v/>
      </c>
    </row>
    <row r="11">
      <c r="B11" s="4" t="n">
        <v>108</v>
      </c>
      <c r="C11" s="4" t="n">
        <v>240</v>
      </c>
      <c r="D11" s="4" t="inlineStr">
        <is>
          <t>['弓箭手', '士兵', '弓']</t>
        </is>
      </c>
      <c r="E11" s="4" t="n">
        <v>1</v>
      </c>
      <c r="F11" s="4">
        <f>SUM($E$4:$E11)</f>
        <v/>
      </c>
      <c r="G11" s="4" t="n">
        <v>1.3</v>
      </c>
      <c r="H11" s="4" t="n">
        <v>0.4</v>
      </c>
      <c r="I11" s="4" t="n">
        <v>2184.7</v>
      </c>
      <c r="J11" s="4" t="n">
        <v>3502.6</v>
      </c>
      <c r="K11" s="4" t="n">
        <v>830.6</v>
      </c>
      <c r="L11" s="4">
        <f>$K$11*30</f>
        <v/>
      </c>
      <c r="M11" s="4">
        <f>ROUND($L$11/($J$11/3),0)</f>
        <v/>
      </c>
    </row>
    <row r="12">
      <c r="B12" s="4" t="n">
        <v>109</v>
      </c>
      <c r="C12" s="4" t="n">
        <v>270</v>
      </c>
      <c r="D12" s="4" t="inlineStr">
        <is>
          <t>['弓箭手', '士兵', '弓']</t>
        </is>
      </c>
      <c r="E12" s="4" t="n">
        <v>1</v>
      </c>
      <c r="F12" s="4">
        <f>SUM($E$4:$E12)</f>
        <v/>
      </c>
      <c r="G12" s="4" t="n">
        <v>1.3</v>
      </c>
      <c r="H12" s="4" t="n">
        <v>0.4</v>
      </c>
      <c r="I12" s="4" t="n">
        <v>2184.7</v>
      </c>
      <c r="J12" s="4" t="n">
        <v>3645.7</v>
      </c>
      <c r="K12" s="4" t="n">
        <v>911.1</v>
      </c>
      <c r="L12" s="4">
        <f>$K$12*30</f>
        <v/>
      </c>
      <c r="M12" s="4">
        <f>ROUND($L$12/($J$12/3),0)</f>
        <v/>
      </c>
    </row>
    <row r="13">
      <c r="B13" s="4" t="n">
        <v>110</v>
      </c>
      <c r="C13" s="4" t="n">
        <v>300</v>
      </c>
      <c r="D13" s="4" t="inlineStr">
        <is>
          <t>['弓箭手', '士兵', '弓']</t>
        </is>
      </c>
      <c r="E13" s="4" t="n">
        <v>1</v>
      </c>
      <c r="F13" s="4">
        <f>SUM($E$4:$E13)</f>
        <v/>
      </c>
      <c r="G13" s="4" t="n">
        <v>1.4</v>
      </c>
      <c r="H13" s="4" t="n">
        <v>0.5</v>
      </c>
      <c r="I13" s="4" t="n">
        <v>2184.7</v>
      </c>
      <c r="J13" s="4" t="n">
        <v>3790.8</v>
      </c>
      <c r="K13" s="4" t="n">
        <v>997.8</v>
      </c>
      <c r="L13" s="4">
        <f>$K$13*30</f>
        <v/>
      </c>
      <c r="M13" s="4">
        <f>ROUND($L$13/($J$13/3),0)</f>
        <v/>
      </c>
    </row>
    <row r="14">
      <c r="B14" s="4" t="n">
        <v>111</v>
      </c>
      <c r="C14" s="4" t="n">
        <v>330</v>
      </c>
      <c r="D14" s="4" t="inlineStr">
        <is>
          <t>['弓箭手', '士兵', '弓']</t>
        </is>
      </c>
      <c r="E14" s="4" t="n">
        <v>1</v>
      </c>
      <c r="F14" s="4">
        <f>SUM($E$4:$E14)</f>
        <v/>
      </c>
      <c r="G14" s="4" t="n">
        <v>1.4</v>
      </c>
      <c r="H14" s="4" t="n">
        <v>0.5</v>
      </c>
      <c r="I14" s="4" t="n">
        <v>2184.7</v>
      </c>
      <c r="J14" s="4" t="n">
        <v>3937.9</v>
      </c>
      <c r="K14" s="4" t="n">
        <v>1091</v>
      </c>
      <c r="L14" s="4">
        <f>$K$14*30</f>
        <v/>
      </c>
      <c r="M14" s="4">
        <f>ROUND($L$14/($J$14/3),0)</f>
        <v/>
      </c>
    </row>
    <row r="15">
      <c r="B15" s="4" t="n">
        <v>112</v>
      </c>
      <c r="C15" s="4" t="n">
        <v>360</v>
      </c>
      <c r="D15" s="4" t="inlineStr">
        <is>
          <t>['弓箭手', '士兵', '弓']</t>
        </is>
      </c>
      <c r="E15" s="4" t="n">
        <v>1</v>
      </c>
      <c r="F15" s="4">
        <f>SUM($E$4:$E15)</f>
        <v/>
      </c>
      <c r="G15" s="4" t="n">
        <v>1.4</v>
      </c>
      <c r="H15" s="4" t="n">
        <v>0.5</v>
      </c>
      <c r="I15" s="4" t="n">
        <v>2184.7</v>
      </c>
      <c r="J15" s="4" t="n">
        <v>4087.1</v>
      </c>
      <c r="K15" s="4" t="n">
        <v>1191.1</v>
      </c>
      <c r="L15" s="4">
        <f>$K$15*30</f>
        <v/>
      </c>
      <c r="M15" s="4">
        <f>ROUND($L$15/($J$15/3),0)</f>
        <v/>
      </c>
    </row>
    <row r="16">
      <c r="B16" s="4" t="n">
        <v>113</v>
      </c>
      <c r="C16" s="4" t="n">
        <v>390</v>
      </c>
      <c r="D16" s="4" t="inlineStr">
        <is>
          <t>['弓箭手', '士兵', '弓']</t>
        </is>
      </c>
      <c r="E16" s="4" t="n">
        <v>1</v>
      </c>
      <c r="F16" s="4">
        <f>SUM($E$4:$E16)</f>
        <v/>
      </c>
      <c r="G16" s="4" t="n">
        <v>1.5</v>
      </c>
      <c r="H16" s="4" t="n">
        <v>0.6</v>
      </c>
      <c r="I16" s="4" t="n">
        <v>2184.7</v>
      </c>
      <c r="J16" s="4" t="n">
        <v>4238.3</v>
      </c>
      <c r="K16" s="4" t="n">
        <v>1298.4</v>
      </c>
      <c r="L16" s="4">
        <f>$K$16*30</f>
        <v/>
      </c>
      <c r="M16" s="4">
        <f>ROUND($L$16/($J$16/3),0)</f>
        <v/>
      </c>
    </row>
    <row r="17">
      <c r="B17" s="4" t="n">
        <v>114</v>
      </c>
      <c r="C17" s="4" t="n">
        <v>420</v>
      </c>
      <c r="D17" s="4" t="inlineStr">
        <is>
          <t>['弓箭手', '士兵', '弓']</t>
        </is>
      </c>
      <c r="E17" s="4" t="n">
        <v>1</v>
      </c>
      <c r="F17" s="4">
        <f>SUM($E$4:$E17)</f>
        <v/>
      </c>
      <c r="G17" s="4" t="n">
        <v>1.5</v>
      </c>
      <c r="H17" s="4" t="n">
        <v>0.6</v>
      </c>
      <c r="I17" s="4" t="n">
        <v>2184.7</v>
      </c>
      <c r="J17" s="4" t="n">
        <v>4391.6</v>
      </c>
      <c r="K17" s="4" t="n">
        <v>1413.4</v>
      </c>
      <c r="L17" s="4">
        <f>$K$17*30</f>
        <v/>
      </c>
      <c r="M17" s="4">
        <f>ROUND($L$17/($J$17/3),0)</f>
        <v/>
      </c>
    </row>
    <row r="18">
      <c r="B18" s="4" t="n">
        <v>115</v>
      </c>
      <c r="C18" s="4" t="n">
        <v>450</v>
      </c>
      <c r="D18" s="4" t="inlineStr">
        <is>
          <t>['弓箭手', '士兵', '弓']</t>
        </is>
      </c>
      <c r="E18" s="4" t="n">
        <v>1</v>
      </c>
      <c r="F18" s="4">
        <f>SUM($E$4:$E18)</f>
        <v/>
      </c>
      <c r="G18" s="4" t="n">
        <v>1.5</v>
      </c>
      <c r="H18" s="4" t="n">
        <v>0.6</v>
      </c>
      <c r="I18" s="4" t="n">
        <v>2184.7</v>
      </c>
      <c r="J18" s="4" t="n">
        <v>4547</v>
      </c>
      <c r="K18" s="4" t="n">
        <v>1536.6</v>
      </c>
      <c r="L18" s="4">
        <f>$K$18*30</f>
        <v/>
      </c>
      <c r="M18" s="4">
        <f>ROUND($L$18/($J$18/3),0)</f>
        <v/>
      </c>
    </row>
    <row r="19">
      <c r="B19" s="4" t="n">
        <v>116</v>
      </c>
      <c r="C19" s="4" t="n">
        <v>480</v>
      </c>
      <c r="D19" s="4" t="inlineStr">
        <is>
          <t>['弓箭手', '士兵', '弓']</t>
        </is>
      </c>
      <c r="E19" s="4" t="n">
        <v>1</v>
      </c>
      <c r="F19" s="4">
        <f>SUM($E$4:$E19)</f>
        <v/>
      </c>
      <c r="G19" s="4" t="n">
        <v>1.6</v>
      </c>
      <c r="H19" s="4" t="n">
        <v>0.7</v>
      </c>
      <c r="I19" s="4" t="n">
        <v>2184.7</v>
      </c>
      <c r="J19" s="4" t="n">
        <v>4704.3</v>
      </c>
      <c r="K19" s="4" t="n">
        <v>1668.4</v>
      </c>
      <c r="L19" s="4">
        <f>$K$19*30</f>
        <v/>
      </c>
      <c r="M19" s="4">
        <f>ROUND($L$19/($J$19/3),0)</f>
        <v/>
      </c>
    </row>
    <row r="20">
      <c r="B20" s="4" t="n">
        <v>117</v>
      </c>
      <c r="C20" s="4" t="n">
        <v>510</v>
      </c>
      <c r="D20" s="4" t="inlineStr">
        <is>
          <t>['弓箭手', '士兵', '弓']</t>
        </is>
      </c>
      <c r="E20" s="4" t="n">
        <v>0</v>
      </c>
      <c r="F20" s="4">
        <f>SUM($E$4:$E20)</f>
        <v/>
      </c>
      <c r="G20" s="4" t="n">
        <v>1.6</v>
      </c>
      <c r="H20" s="4" t="n">
        <v>0.7</v>
      </c>
      <c r="I20" s="4" t="n">
        <v>2184.7</v>
      </c>
      <c r="J20" s="4" t="n">
        <v>4704.3</v>
      </c>
      <c r="K20" s="4" t="n">
        <v>1668.4</v>
      </c>
      <c r="L20" s="4">
        <f>$K$20*30</f>
        <v/>
      </c>
      <c r="M20" s="4">
        <f>ROUND($L$20/($J$20/3),0)</f>
        <v/>
      </c>
    </row>
    <row r="21">
      <c r="B21" s="4" t="n">
        <v>118</v>
      </c>
      <c r="C21" s="4" t="n">
        <v>540</v>
      </c>
      <c r="D21" s="4" t="inlineStr">
        <is>
          <t>['弓箭手', '士兵', '弓']</t>
        </is>
      </c>
      <c r="E21" s="4" t="n">
        <v>1</v>
      </c>
      <c r="F21" s="4">
        <f>SUM($E$4:$E21)</f>
        <v/>
      </c>
      <c r="G21" s="4" t="n">
        <v>1.6</v>
      </c>
      <c r="H21" s="4" t="n">
        <v>0.7</v>
      </c>
      <c r="I21" s="4" t="n">
        <v>2184.7</v>
      </c>
      <c r="J21" s="4" t="n">
        <v>4863.8</v>
      </c>
      <c r="K21" s="4" t="n">
        <v>1809.4</v>
      </c>
      <c r="L21" s="4">
        <f>$K$21*30</f>
        <v/>
      </c>
      <c r="M21" s="4">
        <f>ROUND($L$21/($J$21/3),0)</f>
        <v/>
      </c>
    </row>
    <row r="22">
      <c r="B22" s="4" t="n">
        <v>119</v>
      </c>
      <c r="C22" s="4" t="n">
        <v>570</v>
      </c>
      <c r="D22" s="4" t="inlineStr">
        <is>
          <t>['弓箭手', '士兵', '弓']</t>
        </is>
      </c>
      <c r="E22" s="4" t="n">
        <v>1</v>
      </c>
      <c r="F22" s="4">
        <f>SUM($E$4:$E22)</f>
        <v/>
      </c>
      <c r="G22" s="4" t="n">
        <v>1.7</v>
      </c>
      <c r="H22" s="4" t="n">
        <v>0.8</v>
      </c>
      <c r="I22" s="4" t="n">
        <v>2184.7</v>
      </c>
      <c r="J22" s="4" t="n">
        <v>5025.2</v>
      </c>
      <c r="K22" s="4" t="n">
        <v>1960</v>
      </c>
      <c r="L22" s="4">
        <f>$K$22*30</f>
        <v/>
      </c>
      <c r="M22" s="4">
        <f>ROUND($L$22/($J$22/3),0)</f>
        <v/>
      </c>
    </row>
    <row r="23">
      <c r="B23" s="4" t="n">
        <v>120</v>
      </c>
      <c r="C23" s="4" t="n">
        <v>600</v>
      </c>
      <c r="D23" s="4" t="inlineStr">
        <is>
          <t>['弓箭手', '士兵', '弓']</t>
        </is>
      </c>
      <c r="E23" s="4" t="n">
        <v>1</v>
      </c>
      <c r="F23" s="4">
        <f>SUM($E$4:$E23)</f>
        <v/>
      </c>
      <c r="G23" s="4" t="n">
        <v>1.7</v>
      </c>
      <c r="H23" s="4" t="n">
        <v>0.8</v>
      </c>
      <c r="I23" s="4" t="n">
        <v>2184.7</v>
      </c>
      <c r="J23" s="4" t="n">
        <v>5188.8</v>
      </c>
      <c r="K23" s="4" t="n">
        <v>2120.8</v>
      </c>
      <c r="L23" s="4">
        <f>$K$23*30</f>
        <v/>
      </c>
      <c r="M23" s="4">
        <f>ROUND($L$23/($J$23/3),0)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3.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2025-05-02T15:16:39Z</dcterms:created>
  <dcterms:modified xsi:type="dcterms:W3CDTF">2025-05-07T14:59:23Z</dcterms:modified>
  <cp:lastModifiedBy>PC</cp:lastModifiedBy>
</cp:coreProperties>
</file>