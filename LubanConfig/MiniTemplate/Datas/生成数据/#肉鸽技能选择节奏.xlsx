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19095" windowHeight="9765"/>
  </bookViews>
  <sheets>
    <sheet name="肉鸽技能节奏" sheetId="1" r:id="rId1"/>
  </sheets>
  <calcPr calcId="162913"/>
</workbook>
</file>

<file path=xl/calcChain.xml><?xml version="1.0" encoding="utf-8"?>
<calcChain xmlns="http://schemas.openxmlformats.org/spreadsheetml/2006/main">
  <c r="G33" i="1" l="1"/>
  <c r="H33" i="1" s="1"/>
  <c r="J32" i="1"/>
  <c r="G32" i="1"/>
  <c r="H32" i="1" s="1"/>
  <c r="H31" i="1"/>
  <c r="G31" i="1"/>
  <c r="G30" i="1"/>
  <c r="H30" i="1" s="1"/>
  <c r="J31" i="1" s="1"/>
  <c r="G29" i="1"/>
  <c r="H29" i="1" s="1"/>
  <c r="G28" i="1"/>
  <c r="H28" i="1" s="1"/>
  <c r="G27" i="1"/>
  <c r="J28" i="1" s="1"/>
  <c r="J26" i="1"/>
  <c r="H26" i="1"/>
  <c r="G26" i="1"/>
  <c r="G25" i="1"/>
  <c r="H25" i="1" s="1"/>
  <c r="G24" i="1"/>
  <c r="H24" i="1" s="1"/>
  <c r="J23" i="1" s="1"/>
  <c r="G23" i="1"/>
  <c r="H23" i="1" s="1"/>
  <c r="J22" i="1" s="1"/>
  <c r="G22" i="1"/>
  <c r="H22" i="1" s="1"/>
  <c r="J21" i="1" s="1"/>
  <c r="H21" i="1"/>
  <c r="G21" i="1"/>
  <c r="J20" i="1"/>
  <c r="G20" i="1"/>
  <c r="H20" i="1" s="1"/>
  <c r="J18" i="1" s="1"/>
  <c r="J19" i="1"/>
  <c r="G19" i="1"/>
  <c r="H19" i="1" s="1"/>
  <c r="J17" i="1" s="1"/>
  <c r="G18" i="1"/>
  <c r="H18" i="1" s="1"/>
  <c r="J16" i="1" s="1"/>
  <c r="G17" i="1"/>
  <c r="H17" i="1" s="1"/>
  <c r="J15" i="1" s="1"/>
  <c r="H16" i="1"/>
  <c r="J14" i="1" s="1"/>
  <c r="G16" i="1"/>
  <c r="G15" i="1"/>
  <c r="H15" i="1" s="1"/>
  <c r="J13" i="1" s="1"/>
  <c r="G14" i="1"/>
  <c r="H14" i="1" s="1"/>
  <c r="J12" i="1" s="1"/>
  <c r="G13" i="1"/>
  <c r="H13" i="1" s="1"/>
  <c r="J11" i="1" s="1"/>
  <c r="G12" i="1"/>
  <c r="H12" i="1" s="1"/>
  <c r="J10" i="1" s="1"/>
  <c r="H11" i="1"/>
  <c r="G11" i="1"/>
  <c r="G10" i="1"/>
  <c r="H10" i="1" s="1"/>
  <c r="J9" i="1" s="1"/>
  <c r="G9" i="1"/>
  <c r="H9" i="1" s="1"/>
  <c r="J8" i="1" s="1"/>
  <c r="G8" i="1"/>
  <c r="H8" i="1" s="1"/>
  <c r="J7" i="1" s="1"/>
  <c r="G7" i="1"/>
  <c r="H7" i="1" s="1"/>
  <c r="J6" i="1" s="1"/>
  <c r="H6" i="1"/>
  <c r="G6" i="1"/>
  <c r="J5" i="1"/>
  <c r="G5" i="1"/>
  <c r="H5" i="1" s="1"/>
  <c r="G4" i="1"/>
  <c r="H4" i="1" s="1"/>
  <c r="J4" i="1" s="1"/>
  <c r="K23" i="1" l="1"/>
  <c r="K18" i="1"/>
  <c r="K13" i="1"/>
  <c r="K8" i="1"/>
  <c r="K22" i="1"/>
  <c r="K17" i="1"/>
  <c r="K12" i="1"/>
  <c r="K7" i="1"/>
  <c r="K21" i="1"/>
  <c r="K16" i="1"/>
  <c r="K11" i="1"/>
  <c r="K6" i="1"/>
  <c r="K20" i="1"/>
  <c r="K15" i="1"/>
  <c r="K10" i="1"/>
  <c r="K5" i="1"/>
  <c r="K19" i="1"/>
  <c r="K14" i="1"/>
  <c r="K9" i="1"/>
  <c r="K4" i="1"/>
  <c r="J29" i="1"/>
  <c r="J24" i="1"/>
  <c r="K33" i="1" s="1"/>
  <c r="J30" i="1"/>
  <c r="J25" i="1"/>
  <c r="H27" i="1"/>
  <c r="J27" i="1" s="1"/>
  <c r="J33" i="1"/>
  <c r="K25" i="1" l="1"/>
  <c r="K30" i="1"/>
  <c r="K32" i="1"/>
  <c r="K24" i="1"/>
  <c r="K26" i="1"/>
  <c r="K31" i="1"/>
  <c r="K29" i="1"/>
  <c r="K28" i="1"/>
  <c r="K27" i="1"/>
</calcChain>
</file>

<file path=xl/sharedStrings.xml><?xml version="1.0" encoding="utf-8"?>
<sst xmlns="http://schemas.openxmlformats.org/spreadsheetml/2006/main" count="33" uniqueCount="15">
  <si>
    <t>##var</t>
  </si>
  <si>
    <t>肉鸽技能升级次数</t>
  </si>
  <si>
    <t>理论所需经验值</t>
  </si>
  <si>
    <t>玩家消除行数</t>
  </si>
  <si>
    <t>玩家获得的经验总值</t>
  </si>
  <si>
    <t>获得经验的时间_s</t>
  </si>
  <si>
    <t>时间取整每30s</t>
  </si>
  <si>
    <t>根据时间计数</t>
  </si>
  <si>
    <t>怪物波次模拟</t>
  </si>
  <si>
    <t>选择技能次数</t>
  </si>
  <si>
    <t>总次数</t>
  </si>
  <si>
    <t>##type</t>
  </si>
  <si>
    <t>int</t>
  </si>
  <si>
    <t>float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</si>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</sst>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J22" sqref="J22"/>
    </sheetView>
  </sheetViews>
  <sheetFormatPr defaultRowHeight="13.5" x14ac:dyDescent="0.15"/>
  <cols>
    <col min="2" max="2" width="22" customWidth="1"/>
    <col min="3" max="3" width="19.75" customWidth="1"/>
    <col min="4" max="4" width="17.625" customWidth="1"/>
    <col min="5" max="6" width="24.25" customWidth="1"/>
    <col min="7" max="7" width="22" customWidth="1"/>
    <col min="8" max="10" width="17.625" customWidth="1"/>
    <col min="11" max="11" width="1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  <row r="3" spans="1:11" x14ac:dyDescent="0.15">
      <c r="A3" s="1" t="s">
        <v>14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15">
      <c r="B4" s="2">
        <v>1</v>
      </c>
      <c r="C4" s="2">
        <v>280</v>
      </c>
      <c r="D4" s="2">
        <v>3</v>
      </c>
      <c r="E4" s="2">
        <v>300</v>
      </c>
      <c r="F4" s="2">
        <v>18.8</v>
      </c>
      <c r="G4" s="2">
        <f t="shared" ref="G4:G33" si="0">ROUNDUP(F4/30,0)</f>
        <v>1</v>
      </c>
      <c r="H4" s="2">
        <f>COUNTIF($G$4:$G4,$G4)</f>
        <v>1</v>
      </c>
      <c r="I4" s="2">
        <v>1</v>
      </c>
      <c r="J4" s="2">
        <f t="shared" ref="J4:J33" si="1">IFERROR(LOOKUP(2,1/($G$4:$G$50 = I4),$H$4:$H$50),0)</f>
        <v>1</v>
      </c>
      <c r="K4" s="2">
        <f>SUM($J$4:$J4)</f>
        <v>1</v>
      </c>
    </row>
    <row r="5" spans="1:11" x14ac:dyDescent="0.15">
      <c r="B5" s="2">
        <v>2</v>
      </c>
      <c r="C5" s="2">
        <v>288.5</v>
      </c>
      <c r="D5" s="2">
        <v>3</v>
      </c>
      <c r="E5" s="2">
        <v>600</v>
      </c>
      <c r="F5" s="2">
        <v>37.5</v>
      </c>
      <c r="G5" s="2">
        <f t="shared" si="0"/>
        <v>2</v>
      </c>
      <c r="H5" s="2">
        <f>COUNTIF($G$4:$G5,$G5)</f>
        <v>1</v>
      </c>
      <c r="I5" s="2">
        <v>2</v>
      </c>
      <c r="J5" s="2">
        <f t="shared" si="1"/>
        <v>2</v>
      </c>
      <c r="K5" s="2">
        <f>SUM($J$4:$J5)</f>
        <v>3</v>
      </c>
    </row>
    <row r="6" spans="1:11" x14ac:dyDescent="0.15">
      <c r="B6" s="2">
        <v>3</v>
      </c>
      <c r="C6" s="2">
        <v>297.5</v>
      </c>
      <c r="D6" s="2">
        <v>3</v>
      </c>
      <c r="E6" s="2">
        <v>900</v>
      </c>
      <c r="F6" s="2">
        <v>56.2</v>
      </c>
      <c r="G6" s="2">
        <f t="shared" si="0"/>
        <v>2</v>
      </c>
      <c r="H6" s="2">
        <f>COUNTIF($G$4:$G6,$G6)</f>
        <v>2</v>
      </c>
      <c r="I6" s="2">
        <v>3</v>
      </c>
      <c r="J6" s="2">
        <f t="shared" si="1"/>
        <v>1</v>
      </c>
      <c r="K6" s="2">
        <f>SUM($J$4:$J6)</f>
        <v>4</v>
      </c>
    </row>
    <row r="7" spans="1:11" x14ac:dyDescent="0.15">
      <c r="B7" s="2">
        <v>4</v>
      </c>
      <c r="C7" s="2">
        <v>307</v>
      </c>
      <c r="D7" s="2">
        <v>4</v>
      </c>
      <c r="E7" s="2">
        <v>1300</v>
      </c>
      <c r="F7" s="2">
        <v>81.2</v>
      </c>
      <c r="G7" s="2">
        <f t="shared" si="0"/>
        <v>3</v>
      </c>
      <c r="H7" s="2">
        <f>COUNTIF($G$4:$G7,$G7)</f>
        <v>1</v>
      </c>
      <c r="I7" s="2">
        <v>4</v>
      </c>
      <c r="J7" s="2">
        <f t="shared" si="1"/>
        <v>1</v>
      </c>
      <c r="K7" s="2">
        <f>SUM($J$4:$J7)</f>
        <v>5</v>
      </c>
    </row>
    <row r="8" spans="1:11" x14ac:dyDescent="0.15">
      <c r="B8" s="2">
        <v>5</v>
      </c>
      <c r="C8" s="2">
        <v>317</v>
      </c>
      <c r="D8" s="2">
        <v>4</v>
      </c>
      <c r="E8" s="2">
        <v>1700</v>
      </c>
      <c r="F8" s="2">
        <v>106.2</v>
      </c>
      <c r="G8" s="2">
        <f t="shared" si="0"/>
        <v>4</v>
      </c>
      <c r="H8" s="2">
        <f>COUNTIF($G$4:$G8,$G8)</f>
        <v>1</v>
      </c>
      <c r="I8" s="2">
        <v>5</v>
      </c>
      <c r="J8" s="2">
        <f t="shared" si="1"/>
        <v>1</v>
      </c>
      <c r="K8" s="2">
        <f>SUM($J$4:$J8)</f>
        <v>6</v>
      </c>
    </row>
    <row r="9" spans="1:11" x14ac:dyDescent="0.15">
      <c r="B9" s="2">
        <v>6</v>
      </c>
      <c r="C9" s="2">
        <v>327.5</v>
      </c>
      <c r="D9" s="2">
        <v>4</v>
      </c>
      <c r="E9" s="2">
        <v>2100</v>
      </c>
      <c r="F9" s="2">
        <v>131.19999999999999</v>
      </c>
      <c r="G9" s="2">
        <f t="shared" si="0"/>
        <v>5</v>
      </c>
      <c r="H9" s="2">
        <f>COUNTIF($G$4:$G9,$G9)</f>
        <v>1</v>
      </c>
      <c r="I9" s="2">
        <v>6</v>
      </c>
      <c r="J9" s="2">
        <f t="shared" si="1"/>
        <v>1</v>
      </c>
      <c r="K9" s="2">
        <f>SUM($J$4:$J9)</f>
        <v>7</v>
      </c>
    </row>
    <row r="10" spans="1:11" x14ac:dyDescent="0.15">
      <c r="B10" s="2">
        <v>7</v>
      </c>
      <c r="C10" s="2">
        <v>338.5</v>
      </c>
      <c r="D10" s="2">
        <v>4</v>
      </c>
      <c r="E10" s="2">
        <v>2500</v>
      </c>
      <c r="F10" s="2">
        <v>156.19999999999999</v>
      </c>
      <c r="G10" s="2">
        <f t="shared" si="0"/>
        <v>6</v>
      </c>
      <c r="H10" s="2">
        <f>COUNTIF($G$4:$G10,$G10)</f>
        <v>1</v>
      </c>
      <c r="I10" s="2">
        <v>7</v>
      </c>
      <c r="J10" s="2">
        <f t="shared" si="1"/>
        <v>2</v>
      </c>
      <c r="K10" s="2">
        <f>SUM($J$4:$J10)</f>
        <v>9</v>
      </c>
    </row>
    <row r="11" spans="1:11" x14ac:dyDescent="0.15">
      <c r="B11" s="2">
        <v>8</v>
      </c>
      <c r="C11" s="2">
        <v>350</v>
      </c>
      <c r="D11" s="2">
        <v>4</v>
      </c>
      <c r="E11" s="2">
        <v>2900</v>
      </c>
      <c r="F11" s="2">
        <v>181.2</v>
      </c>
      <c r="G11" s="2">
        <f t="shared" si="0"/>
        <v>7</v>
      </c>
      <c r="H11" s="2">
        <f>COUNTIF($G$4:$G11,$G11)</f>
        <v>1</v>
      </c>
      <c r="I11" s="2">
        <v>8</v>
      </c>
      <c r="J11" s="2">
        <f t="shared" si="1"/>
        <v>1</v>
      </c>
      <c r="K11" s="2">
        <f>SUM($J$4:$J11)</f>
        <v>10</v>
      </c>
    </row>
    <row r="12" spans="1:11" x14ac:dyDescent="0.15">
      <c r="B12" s="2">
        <v>9</v>
      </c>
      <c r="C12" s="2">
        <v>362</v>
      </c>
      <c r="D12" s="2">
        <v>4</v>
      </c>
      <c r="E12" s="2">
        <v>3300</v>
      </c>
      <c r="F12" s="2">
        <v>206.2</v>
      </c>
      <c r="G12" s="2">
        <f t="shared" si="0"/>
        <v>7</v>
      </c>
      <c r="H12" s="2">
        <f>COUNTIF($G$4:$G12,$G12)</f>
        <v>2</v>
      </c>
      <c r="I12" s="2">
        <v>9</v>
      </c>
      <c r="J12" s="2">
        <f t="shared" si="1"/>
        <v>1</v>
      </c>
      <c r="K12" s="2">
        <f>SUM($J$4:$J12)</f>
        <v>11</v>
      </c>
    </row>
    <row r="13" spans="1:11" x14ac:dyDescent="0.15">
      <c r="B13" s="2">
        <v>10</v>
      </c>
      <c r="C13" s="2">
        <v>374.5</v>
      </c>
      <c r="D13" s="2">
        <v>4</v>
      </c>
      <c r="E13" s="2">
        <v>3700</v>
      </c>
      <c r="F13" s="2">
        <v>231.2</v>
      </c>
      <c r="G13" s="2">
        <f t="shared" si="0"/>
        <v>8</v>
      </c>
      <c r="H13" s="2">
        <f>COUNTIF($G$4:$G13,$G13)</f>
        <v>1</v>
      </c>
      <c r="I13" s="2">
        <v>10</v>
      </c>
      <c r="J13" s="2">
        <f t="shared" si="1"/>
        <v>1</v>
      </c>
      <c r="K13" s="2">
        <f>SUM($J$4:$J13)</f>
        <v>12</v>
      </c>
    </row>
    <row r="14" spans="1:11" x14ac:dyDescent="0.15">
      <c r="B14" s="2">
        <v>11</v>
      </c>
      <c r="C14" s="2">
        <v>387.5</v>
      </c>
      <c r="D14" s="2">
        <v>4</v>
      </c>
      <c r="E14" s="2">
        <v>4100</v>
      </c>
      <c r="F14" s="2">
        <v>256.2</v>
      </c>
      <c r="G14" s="2">
        <f t="shared" si="0"/>
        <v>9</v>
      </c>
      <c r="H14" s="2">
        <f>COUNTIF($G$4:$G14,$G14)</f>
        <v>1</v>
      </c>
      <c r="I14" s="2">
        <v>11</v>
      </c>
      <c r="J14" s="2">
        <f t="shared" si="1"/>
        <v>1</v>
      </c>
      <c r="K14" s="2">
        <f>SUM($J$4:$J14)</f>
        <v>13</v>
      </c>
    </row>
    <row r="15" spans="1:11" x14ac:dyDescent="0.15">
      <c r="B15" s="2">
        <v>12</v>
      </c>
      <c r="C15" s="2">
        <v>401</v>
      </c>
      <c r="D15" s="2">
        <v>5</v>
      </c>
      <c r="E15" s="2">
        <v>4600</v>
      </c>
      <c r="F15" s="2">
        <v>287.5</v>
      </c>
      <c r="G15" s="2">
        <f t="shared" si="0"/>
        <v>10</v>
      </c>
      <c r="H15" s="2">
        <f>COUNTIF($G$4:$G15,$G15)</f>
        <v>1</v>
      </c>
      <c r="I15" s="2">
        <v>12</v>
      </c>
      <c r="J15" s="2">
        <f t="shared" si="1"/>
        <v>1</v>
      </c>
      <c r="K15" s="2">
        <f>SUM($J$4:$J15)</f>
        <v>14</v>
      </c>
    </row>
    <row r="16" spans="1:11" x14ac:dyDescent="0.15">
      <c r="B16" s="2">
        <v>13</v>
      </c>
      <c r="C16" s="2">
        <v>415</v>
      </c>
      <c r="D16" s="2">
        <v>5</v>
      </c>
      <c r="E16" s="2">
        <v>5100</v>
      </c>
      <c r="F16" s="2">
        <v>318.8</v>
      </c>
      <c r="G16" s="2">
        <f t="shared" si="0"/>
        <v>11</v>
      </c>
      <c r="H16" s="2">
        <f>COUNTIF($G$4:$G16,$G16)</f>
        <v>1</v>
      </c>
      <c r="I16" s="2">
        <v>13</v>
      </c>
      <c r="J16" s="2">
        <f t="shared" si="1"/>
        <v>1</v>
      </c>
      <c r="K16" s="2">
        <f>SUM($J$4:$J16)</f>
        <v>15</v>
      </c>
    </row>
    <row r="17" spans="2:11" x14ac:dyDescent="0.15">
      <c r="B17" s="2">
        <v>14</v>
      </c>
      <c r="C17" s="2">
        <v>429.5</v>
      </c>
      <c r="D17" s="2">
        <v>5</v>
      </c>
      <c r="E17" s="2">
        <v>5600</v>
      </c>
      <c r="F17" s="2">
        <v>350</v>
      </c>
      <c r="G17" s="2">
        <f t="shared" si="0"/>
        <v>12</v>
      </c>
      <c r="H17" s="2">
        <f>COUNTIF($G$4:$G17,$G17)</f>
        <v>1</v>
      </c>
      <c r="I17" s="2">
        <v>14</v>
      </c>
      <c r="J17" s="2">
        <f t="shared" si="1"/>
        <v>1</v>
      </c>
      <c r="K17" s="2">
        <f>SUM($J$4:$J17)</f>
        <v>16</v>
      </c>
    </row>
    <row r="18" spans="2:11" x14ac:dyDescent="0.15">
      <c r="B18" s="2">
        <v>15</v>
      </c>
      <c r="C18" s="2">
        <v>444.5</v>
      </c>
      <c r="D18" s="2">
        <v>5</v>
      </c>
      <c r="E18" s="2">
        <v>6100</v>
      </c>
      <c r="F18" s="2">
        <v>381.2</v>
      </c>
      <c r="G18" s="2">
        <f t="shared" si="0"/>
        <v>13</v>
      </c>
      <c r="H18" s="2">
        <f>COUNTIF($G$4:$G18,$G18)</f>
        <v>1</v>
      </c>
      <c r="I18" s="2">
        <v>15</v>
      </c>
      <c r="J18" s="2">
        <f t="shared" si="1"/>
        <v>1</v>
      </c>
      <c r="K18" s="2">
        <f>SUM($J$4:$J18)</f>
        <v>17</v>
      </c>
    </row>
    <row r="19" spans="2:11" x14ac:dyDescent="0.15">
      <c r="B19" s="2">
        <v>16</v>
      </c>
      <c r="C19" s="2">
        <v>460</v>
      </c>
      <c r="D19" s="2">
        <v>5</v>
      </c>
      <c r="E19" s="2">
        <v>6600</v>
      </c>
      <c r="F19" s="2">
        <v>412.5</v>
      </c>
      <c r="G19" s="2">
        <f t="shared" si="0"/>
        <v>14</v>
      </c>
      <c r="H19" s="2">
        <f>COUNTIF($G$4:$G19,$G19)</f>
        <v>1</v>
      </c>
      <c r="I19" s="2">
        <v>16</v>
      </c>
      <c r="J19" s="2">
        <f t="shared" si="1"/>
        <v>1</v>
      </c>
      <c r="K19" s="2">
        <f>SUM($J$4:$J19)</f>
        <v>18</v>
      </c>
    </row>
    <row r="20" spans="2:11" x14ac:dyDescent="0.15">
      <c r="B20" s="2">
        <v>17</v>
      </c>
      <c r="C20" s="2">
        <v>476</v>
      </c>
      <c r="D20" s="2">
        <v>5</v>
      </c>
      <c r="E20" s="2">
        <v>7100</v>
      </c>
      <c r="F20" s="2">
        <v>443.8</v>
      </c>
      <c r="G20" s="2">
        <f t="shared" si="0"/>
        <v>15</v>
      </c>
      <c r="H20" s="2">
        <f>COUNTIF($G$4:$G20,$G20)</f>
        <v>1</v>
      </c>
      <c r="I20" s="2">
        <v>17</v>
      </c>
      <c r="J20" s="2">
        <f t="shared" si="1"/>
        <v>0</v>
      </c>
      <c r="K20" s="2">
        <f>SUM($J$4:$J20)</f>
        <v>18</v>
      </c>
    </row>
    <row r="21" spans="2:11" x14ac:dyDescent="0.15">
      <c r="B21" s="2">
        <v>18</v>
      </c>
      <c r="C21" s="2">
        <v>492.5</v>
      </c>
      <c r="D21" s="2">
        <v>5</v>
      </c>
      <c r="E21" s="2">
        <v>7600</v>
      </c>
      <c r="F21" s="2">
        <v>475</v>
      </c>
      <c r="G21" s="2">
        <f t="shared" si="0"/>
        <v>16</v>
      </c>
      <c r="H21" s="2">
        <f>COUNTIF($G$4:$G21,$G21)</f>
        <v>1</v>
      </c>
      <c r="I21" s="2">
        <v>18</v>
      </c>
      <c r="J21" s="2">
        <f t="shared" si="1"/>
        <v>1</v>
      </c>
      <c r="K21" s="2">
        <f>SUM($J$4:$J21)</f>
        <v>19</v>
      </c>
    </row>
    <row r="22" spans="2:11" x14ac:dyDescent="0.15">
      <c r="B22" s="2">
        <v>19</v>
      </c>
      <c r="C22" s="2">
        <v>509.5</v>
      </c>
      <c r="D22" s="2">
        <v>6</v>
      </c>
      <c r="E22" s="2">
        <v>8200</v>
      </c>
      <c r="F22" s="2">
        <v>512.5</v>
      </c>
      <c r="G22" s="2">
        <f t="shared" si="0"/>
        <v>18</v>
      </c>
      <c r="H22" s="2">
        <f>COUNTIF($G$4:$G22,$G22)</f>
        <v>1</v>
      </c>
      <c r="I22" s="2">
        <v>19</v>
      </c>
      <c r="J22" s="2">
        <f t="shared" si="1"/>
        <v>1</v>
      </c>
      <c r="K22" s="2">
        <f>SUM($J$4:$J22)</f>
        <v>20</v>
      </c>
    </row>
    <row r="23" spans="2:11" x14ac:dyDescent="0.15">
      <c r="B23" s="2">
        <v>20</v>
      </c>
      <c r="C23" s="2">
        <v>527</v>
      </c>
      <c r="D23" s="2">
        <v>6</v>
      </c>
      <c r="E23" s="2">
        <v>8800</v>
      </c>
      <c r="F23" s="2">
        <v>550</v>
      </c>
      <c r="G23" s="2">
        <f t="shared" si="0"/>
        <v>19</v>
      </c>
      <c r="H23" s="2">
        <f>COUNTIF($G$4:$G23,$G23)</f>
        <v>1</v>
      </c>
      <c r="I23" s="2">
        <v>20</v>
      </c>
      <c r="J23" s="2">
        <f t="shared" si="1"/>
        <v>1</v>
      </c>
      <c r="K23" s="2">
        <f>SUM($J$4:$J23)</f>
        <v>21</v>
      </c>
    </row>
    <row r="24" spans="2:11" x14ac:dyDescent="0.15">
      <c r="B24" s="2">
        <v>21</v>
      </c>
      <c r="C24" s="2">
        <v>545</v>
      </c>
      <c r="D24" s="2">
        <v>6</v>
      </c>
      <c r="E24" s="2">
        <v>9400</v>
      </c>
      <c r="F24" s="2">
        <v>587.5</v>
      </c>
      <c r="G24" s="2">
        <f t="shared" si="0"/>
        <v>20</v>
      </c>
      <c r="H24" s="2">
        <f>COUNTIF($G$4:$G24,$G24)</f>
        <v>1</v>
      </c>
      <c r="I24" s="2">
        <v>21</v>
      </c>
      <c r="J24" s="2">
        <f t="shared" si="1"/>
        <v>1</v>
      </c>
      <c r="K24" s="2">
        <f>SUM($J$4:$J24)</f>
        <v>22</v>
      </c>
    </row>
    <row r="25" spans="2:11" x14ac:dyDescent="0.15">
      <c r="B25" s="2">
        <v>22</v>
      </c>
      <c r="C25" s="2">
        <v>563.5</v>
      </c>
      <c r="D25" s="2">
        <v>6</v>
      </c>
      <c r="E25" s="2">
        <v>10000</v>
      </c>
      <c r="F25" s="2">
        <v>625</v>
      </c>
      <c r="G25" s="2">
        <f t="shared" si="0"/>
        <v>21</v>
      </c>
      <c r="H25" s="2">
        <f>COUNTIF($G$4:$G25,$G25)</f>
        <v>1</v>
      </c>
      <c r="I25" s="2">
        <v>22</v>
      </c>
      <c r="J25" s="2">
        <f t="shared" si="1"/>
        <v>0</v>
      </c>
      <c r="K25" s="2">
        <f>SUM($J$4:$J25)</f>
        <v>22</v>
      </c>
    </row>
    <row r="26" spans="2:11" x14ac:dyDescent="0.15">
      <c r="B26" s="2">
        <v>23</v>
      </c>
      <c r="C26" s="2">
        <v>582.5</v>
      </c>
      <c r="D26" s="2">
        <v>6</v>
      </c>
      <c r="E26" s="2">
        <v>10600</v>
      </c>
      <c r="F26" s="2">
        <v>662.5</v>
      </c>
      <c r="G26" s="2">
        <f t="shared" si="0"/>
        <v>23</v>
      </c>
      <c r="H26" s="2">
        <f>COUNTIF($G$4:$G26,$G26)</f>
        <v>1</v>
      </c>
      <c r="I26" s="2">
        <v>23</v>
      </c>
      <c r="J26" s="2">
        <f t="shared" si="1"/>
        <v>1</v>
      </c>
      <c r="K26" s="2">
        <f>SUM($J$4:$J26)</f>
        <v>23</v>
      </c>
    </row>
    <row r="27" spans="2:11" x14ac:dyDescent="0.15">
      <c r="B27" s="2">
        <v>24</v>
      </c>
      <c r="C27" s="2">
        <v>602</v>
      </c>
      <c r="D27" s="2">
        <v>7</v>
      </c>
      <c r="E27" s="2">
        <v>11300</v>
      </c>
      <c r="F27" s="2">
        <v>706.2</v>
      </c>
      <c r="G27" s="2">
        <f t="shared" si="0"/>
        <v>24</v>
      </c>
      <c r="H27" s="2">
        <f>COUNTIF($G$4:$G27,$G27)</f>
        <v>1</v>
      </c>
      <c r="I27" s="2">
        <v>24</v>
      </c>
      <c r="J27" s="2">
        <f t="shared" si="1"/>
        <v>1</v>
      </c>
      <c r="K27" s="2">
        <f>SUM($J$4:$J27)</f>
        <v>24</v>
      </c>
    </row>
    <row r="28" spans="2:11" x14ac:dyDescent="0.15">
      <c r="B28" s="2">
        <v>25</v>
      </c>
      <c r="C28" s="2">
        <v>622</v>
      </c>
      <c r="D28" s="2">
        <v>7</v>
      </c>
      <c r="E28" s="2">
        <v>12000</v>
      </c>
      <c r="F28" s="2">
        <v>750</v>
      </c>
      <c r="G28" s="2">
        <f t="shared" si="0"/>
        <v>25</v>
      </c>
      <c r="H28" s="2">
        <f>COUNTIF($G$4:$G28,$G28)</f>
        <v>1</v>
      </c>
      <c r="I28" s="2">
        <v>25</v>
      </c>
      <c r="J28" s="2">
        <f t="shared" si="1"/>
        <v>1</v>
      </c>
      <c r="K28" s="2">
        <f>SUM($J$4:$J28)</f>
        <v>25</v>
      </c>
    </row>
    <row r="29" spans="2:11" x14ac:dyDescent="0.15">
      <c r="B29" s="2">
        <v>26</v>
      </c>
      <c r="C29" s="2">
        <v>622</v>
      </c>
      <c r="D29" s="2">
        <v>7</v>
      </c>
      <c r="E29" s="2">
        <v>12700</v>
      </c>
      <c r="F29" s="2">
        <v>793.8</v>
      </c>
      <c r="G29" s="2">
        <f t="shared" si="0"/>
        <v>27</v>
      </c>
      <c r="H29" s="2">
        <f>COUNTIF($G$4:$G29,$G29)</f>
        <v>1</v>
      </c>
      <c r="I29" s="2">
        <v>26</v>
      </c>
      <c r="J29" s="2">
        <f t="shared" si="1"/>
        <v>0</v>
      </c>
      <c r="K29" s="2">
        <f>SUM($J$4:$J29)</f>
        <v>25</v>
      </c>
    </row>
    <row r="30" spans="2:11" x14ac:dyDescent="0.15">
      <c r="B30" s="2">
        <v>27</v>
      </c>
      <c r="C30" s="2">
        <v>622</v>
      </c>
      <c r="D30" s="2">
        <v>7</v>
      </c>
      <c r="E30" s="2">
        <v>13400</v>
      </c>
      <c r="F30" s="2">
        <v>837.5</v>
      </c>
      <c r="G30" s="2">
        <f t="shared" si="0"/>
        <v>28</v>
      </c>
      <c r="H30" s="2">
        <f>COUNTIF($G$4:$G30,$G30)</f>
        <v>1</v>
      </c>
      <c r="I30" s="2">
        <v>27</v>
      </c>
      <c r="J30" s="2">
        <f t="shared" si="1"/>
        <v>1</v>
      </c>
      <c r="K30" s="2">
        <f>SUM($J$4:$J30)</f>
        <v>26</v>
      </c>
    </row>
    <row r="31" spans="2:11" x14ac:dyDescent="0.15">
      <c r="B31" s="2">
        <v>28</v>
      </c>
      <c r="C31" s="2">
        <v>622</v>
      </c>
      <c r="D31" s="2">
        <v>7</v>
      </c>
      <c r="E31" s="2">
        <v>14100</v>
      </c>
      <c r="F31" s="2">
        <v>881.2</v>
      </c>
      <c r="G31" s="2">
        <f t="shared" si="0"/>
        <v>30</v>
      </c>
      <c r="H31" s="2">
        <f>COUNTIF($G$4:$G31,$G31)</f>
        <v>1</v>
      </c>
      <c r="I31" s="2">
        <v>28</v>
      </c>
      <c r="J31" s="2">
        <f t="shared" si="1"/>
        <v>1</v>
      </c>
      <c r="K31" s="2">
        <f>SUM($J$4:$J31)</f>
        <v>27</v>
      </c>
    </row>
    <row r="32" spans="2:11" x14ac:dyDescent="0.15">
      <c r="B32" s="2">
        <v>29</v>
      </c>
      <c r="C32" s="2">
        <v>622</v>
      </c>
      <c r="D32" s="2">
        <v>7</v>
      </c>
      <c r="E32" s="2">
        <v>14800</v>
      </c>
      <c r="F32" s="2">
        <v>925</v>
      </c>
      <c r="G32" s="2">
        <f t="shared" si="0"/>
        <v>31</v>
      </c>
      <c r="H32" s="2">
        <f>COUNTIF($G$4:$G32,$G32)</f>
        <v>1</v>
      </c>
      <c r="I32" s="2">
        <v>29</v>
      </c>
      <c r="J32" s="2">
        <f t="shared" si="1"/>
        <v>0</v>
      </c>
      <c r="K32" s="2">
        <f>SUM($J$4:$J32)</f>
        <v>27</v>
      </c>
    </row>
    <row r="33" spans="2:11" x14ac:dyDescent="0.15">
      <c r="B33" s="2">
        <v>30</v>
      </c>
      <c r="C33" s="2">
        <v>622</v>
      </c>
      <c r="D33" s="2">
        <v>7</v>
      </c>
      <c r="E33" s="2">
        <v>15500</v>
      </c>
      <c r="F33" s="2">
        <v>968.8</v>
      </c>
      <c r="G33" s="2">
        <f t="shared" si="0"/>
        <v>33</v>
      </c>
      <c r="H33" s="2">
        <f>COUNTIF($G$4:$G33,$G33)</f>
        <v>1</v>
      </c>
      <c r="I33" s="2">
        <v>30</v>
      </c>
      <c r="J33" s="2">
        <f t="shared" si="1"/>
        <v>1</v>
      </c>
      <c r="K33" s="2">
        <f>SUM($J$4:$J33)</f>
        <v>28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肉鸽技能节奏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2025-05-02T09:03:42Z</dcterms:created>
  <dcterms:modified xsi:type="dcterms:W3CDTF">2025-05-02T09:53:46Z</dcterms:modified>
</cp:coreProperties>
</file>