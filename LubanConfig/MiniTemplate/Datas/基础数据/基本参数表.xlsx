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2"/>
  </bookViews>
  <sheets>
    <sheet name="游戏基本参数" sheetId="1" r:id="rId1"/>
    <sheet name="攻击范围收益倍率" sheetId="16" r:id="rId2"/>
    <sheet name="游戏公式表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6" i="16" l="1"/>
  <c r="C7" i="16"/>
  <c r="C8" i="16"/>
  <c r="C9" i="16"/>
  <c r="C5" i="16"/>
  <c r="C19" i="1" l="1"/>
  <c r="C20" i="1" s="1"/>
</calcChain>
</file>

<file path=xl/sharedStrings.xml><?xml version="1.0" encoding="utf-8"?>
<sst xmlns="http://schemas.openxmlformats.org/spreadsheetml/2006/main" count="53" uniqueCount="50">
  <si>
    <t>游戏基本参数</t>
    <phoneticPr fontId="1" type="noConversion"/>
  </si>
  <si>
    <t>每个方块的小方块数</t>
    <phoneticPr fontId="1" type="noConversion"/>
  </si>
  <si>
    <t>小方块经验值</t>
    <phoneticPr fontId="1" type="noConversion"/>
  </si>
  <si>
    <t>角色等级上限</t>
    <phoneticPr fontId="1" type="noConversion"/>
  </si>
  <si>
    <t>最大上阵角色数</t>
    <phoneticPr fontId="1" type="noConversion"/>
  </si>
  <si>
    <t>角色品质划分</t>
    <phoneticPr fontId="1" type="noConversion"/>
  </si>
  <si>
    <t>战场总长度</t>
    <phoneticPr fontId="1" type="noConversion"/>
  </si>
  <si>
    <t>一般默认移动速度</t>
    <phoneticPr fontId="1" type="noConversion"/>
  </si>
  <si>
    <t>格/秒</t>
    <phoneticPr fontId="1" type="noConversion"/>
  </si>
  <si>
    <t>格</t>
    <phoneticPr fontId="1" type="noConversion"/>
  </si>
  <si>
    <t>绿色是手填的，其他的都是自动生成的</t>
    <phoneticPr fontId="1" type="noConversion"/>
  </si>
  <si>
    <t>属性换算比例</t>
    <phoneticPr fontId="1" type="noConversion"/>
  </si>
  <si>
    <t>公式5：提升后的血量战力=基础血量战力+特效等效血量战力=基础血量战力*（1+基础血量提升比例）+基础血量战力*等效换算公式</t>
    <phoneticPr fontId="1" type="noConversion"/>
  </si>
  <si>
    <t>公式6：DPS战力=DPS基础战力*Π各个基础属性提升倍率（Π表示连乘）</t>
    <phoneticPr fontId="1" type="noConversion"/>
  </si>
  <si>
    <t>公式7：英雄战力（加英雄肉鸽）=基础血量战力*Π血量倍率+基础DPS战力*ΠDPS倍率+基础特效战力*Π特效倍率</t>
    <phoneticPr fontId="1" type="noConversion"/>
  </si>
  <si>
    <t>公式8：消除倍率=:玩家熟练度xI型方块下落概率x自动消除效率x可操作行x可操作列x方块自然下落速度x基本方块类型x方块层数x方块障碍机制</t>
    <phoneticPr fontId="1" type="noConversion"/>
  </si>
  <si>
    <t>公式9：综合出兵速率=玩家消除效率*方块小兵数量期望值=基础每秒下方块数*Π全局肉鸽技能消除倍率*（每方块基础小兵个数+∑小兵增加期望值）</t>
    <phoneticPr fontId="1" type="noConversion"/>
  </si>
  <si>
    <t>公式10：英雄战力（加所有肉鸽）=血量战力+DPS战力+特效战力=基础血量*英雄血量提升倍率*全局血量提升倍率*血量战力价值+基础DPS*英雄DPS提升倍率*全局DPS提升倍率*DPS战力价值+特效战力*英雄肉鸽技能特效倍率*全局肉鸽技能特效倍率</t>
    <phoneticPr fontId="1" type="noConversion"/>
  </si>
  <si>
    <t>公式11：全局血量提升倍率=全局血量特效倍率=1+∑全局血量比率）</t>
    <phoneticPr fontId="1" type="noConversion"/>
  </si>
  <si>
    <t>公式12：全局DPS提升倍率=全局DPS特效倍率=（1+∑全局攻击力比率）*（1+∑全局攻速比率）</t>
    <phoneticPr fontId="1" type="noConversion"/>
  </si>
  <si>
    <t>公式13：战力产出效率=综合出兵速率x4个英雄平均战力=公式9x（∑公式10）/4</t>
    <phoneticPr fontId="1" type="noConversion"/>
  </si>
  <si>
    <t>伤害公式：伤害=攻击力*（1-防御百分比）</t>
    <phoneticPr fontId="1" type="noConversion"/>
  </si>
  <si>
    <t>关卡时长</t>
    <phoneticPr fontId="1" type="noConversion"/>
  </si>
  <si>
    <t>肉鸽技能选择次数</t>
    <phoneticPr fontId="1" type="noConversion"/>
  </si>
  <si>
    <t>怪物波次间隔</t>
    <phoneticPr fontId="1" type="noConversion"/>
  </si>
  <si>
    <t>秒</t>
    <phoneticPr fontId="1" type="noConversion"/>
  </si>
  <si>
    <t>次</t>
    <phoneticPr fontId="1" type="noConversion"/>
  </si>
  <si>
    <t>分钟</t>
    <phoneticPr fontId="1" type="noConversion"/>
  </si>
  <si>
    <t>血量战力价值</t>
    <phoneticPr fontId="1" type="noConversion"/>
  </si>
  <si>
    <t>DPS战力价值</t>
    <phoneticPr fontId="1" type="noConversion"/>
  </si>
  <si>
    <t>录入到游戏的公式表中</t>
    <phoneticPr fontId="1" type="noConversion"/>
  </si>
  <si>
    <t>生命周期/生存时间</t>
    <phoneticPr fontId="1" type="noConversion"/>
  </si>
  <si>
    <t>坦克生存时间</t>
    <phoneticPr fontId="1" type="noConversion"/>
  </si>
  <si>
    <t>近战生存时间</t>
    <phoneticPr fontId="1" type="noConversion"/>
  </si>
  <si>
    <t>远程生存时间</t>
    <phoneticPr fontId="1" type="noConversion"/>
  </si>
  <si>
    <t>刺客生存时间</t>
    <phoneticPr fontId="1" type="noConversion"/>
  </si>
  <si>
    <t>平均生存时间</t>
    <phoneticPr fontId="1" type="noConversion"/>
  </si>
  <si>
    <t>数据会保存为字典格式，键放在B列，值放在C列，从第五行开始，中间不能有空行</t>
    <phoneticPr fontId="1" type="noConversion"/>
  </si>
  <si>
    <t>代码中引用规范：实例_玩家操作评估.参数_玩家消除总行数</t>
    <phoneticPr fontId="1" type="noConversion"/>
  </si>
  <si>
    <t>参数_实际参数</t>
    <phoneticPr fontId="1" type="noConversion"/>
  </si>
  <si>
    <t>这个表没有数据</t>
    <phoneticPr fontId="1" type="noConversion"/>
  </si>
  <si>
    <t>公式1：英雄基础战力计算公式：战力=血量x血量战力价值+（攻击力x攻速）xDPS战力价值x攻击范围收益倍率+∑特效战力价值</t>
    <phoneticPr fontId="1" type="noConversion"/>
  </si>
  <si>
    <t>公式2：伤害类特效战力=DPS的战力价值x特效DPS=20*攻击速度x攻击范围收益倍率xbuff概率xbuff基础秒伤xbuff持续时间。（buff基础秒伤一般是基础DPS的百分比，所以也受攻击力影响）</t>
    <phoneticPr fontId="1" type="noConversion"/>
  </si>
  <si>
    <t>攻击范围</t>
    <phoneticPr fontId="1" type="noConversion"/>
  </si>
  <si>
    <t>DPS提升比例</t>
    <phoneticPr fontId="1" type="noConversion"/>
  </si>
  <si>
    <t>攻击范围收益倍率</t>
    <phoneticPr fontId="1" type="noConversion"/>
  </si>
  <si>
    <t>新</t>
    <phoneticPr fontId="1" type="noConversion"/>
  </si>
  <si>
    <t>DPS基础战力=攻击力x攻速x攻击范围收益倍率xDPS战力价值</t>
    <phoneticPr fontId="1" type="noConversion"/>
  </si>
  <si>
    <t>公式4：控制类特效战力=等效提升血量*血量战力价值=基础血量*（a/（1-a））*10</t>
    <phoneticPr fontId="1" type="noConversion"/>
  </si>
  <si>
    <t>sheet名不能有空格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</si>
</sst>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2"/>
      <color theme="0"/>
      <name val="等线"/>
      <family val="3"/>
      <charset val="134"/>
      <scheme val="minor"/>
    </font>
    <font>
      <sz val="12"/>
      <color theme="1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  <font>
      <b/>
      <sz val="12"/>
      <color rgb="FFFF0000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b/>
      <sz val="11"/>
      <color theme="0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 tint="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5" fillId="0" borderId="0" xfId="0" applyFont="1" applyAlignment="1">
      <alignment horizontal="left" vertical="center"/>
    </xf>
    <xf numFmtId="0" fontId="5" fillId="0" borderId="0" xfId="0" applyFont="1"/>
    <xf numFmtId="0" fontId="0" fillId="3" borderId="1" xfId="0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6" fillId="0" borderId="0" xfId="0" applyFont="1"/>
    <xf numFmtId="0" fontId="7" fillId="4" borderId="0" xfId="0" applyFont="1" applyFill="1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22"/>
  <sheetViews>
    <sheetView workbookViewId="0">
      <selection activeCell="B23" sqref="B23"/>
    </sheetView>
  </sheetViews>
  <sheetFormatPr defaultRowHeight="14.25" x14ac:dyDescent="0.2"/>
  <cols>
    <col min="2" max="2" width="25.625" style="4" customWidth="1"/>
    <col min="3" max="3" width="26" style="4" customWidth="1"/>
  </cols>
  <sheetData>
    <row r="2" spans="2:8" x14ac:dyDescent="0.2">
      <c r="H2" s="12" t="s">
        <v>37</v>
      </c>
    </row>
    <row r="3" spans="2:8" x14ac:dyDescent="0.2">
      <c r="B3" s="3" t="s">
        <v>0</v>
      </c>
      <c r="C3" s="6" t="s">
        <v>10</v>
      </c>
      <c r="H3" s="12" t="s">
        <v>49</v>
      </c>
    </row>
    <row r="5" spans="2:8" ht="15.75" x14ac:dyDescent="0.2">
      <c r="B5" s="1" t="s">
        <v>1</v>
      </c>
      <c r="C5" s="5">
        <v>4</v>
      </c>
      <c r="H5" t="s">
        <v>38</v>
      </c>
    </row>
    <row r="6" spans="2:8" ht="15.75" x14ac:dyDescent="0.2">
      <c r="B6" s="1" t="s">
        <v>2</v>
      </c>
      <c r="C6" s="5">
        <v>10</v>
      </c>
      <c r="H6" t="s">
        <v>39</v>
      </c>
    </row>
    <row r="7" spans="2:8" ht="15.75" x14ac:dyDescent="0.2">
      <c r="B7" s="1" t="s">
        <v>3</v>
      </c>
      <c r="C7" s="5">
        <v>20</v>
      </c>
    </row>
    <row r="8" spans="2:8" ht="15.75" x14ac:dyDescent="0.2">
      <c r="B8" s="1" t="s">
        <v>4</v>
      </c>
      <c r="C8" s="5">
        <v>3</v>
      </c>
    </row>
    <row r="9" spans="2:8" ht="15.75" x14ac:dyDescent="0.2">
      <c r="B9" s="1" t="s">
        <v>5</v>
      </c>
      <c r="C9" s="5">
        <v>3</v>
      </c>
    </row>
    <row r="10" spans="2:8" ht="15.75" x14ac:dyDescent="0.2">
      <c r="B10" s="2" t="s">
        <v>6</v>
      </c>
      <c r="C10" s="5">
        <v>40</v>
      </c>
      <c r="D10" t="s">
        <v>9</v>
      </c>
    </row>
    <row r="11" spans="2:8" ht="15.75" x14ac:dyDescent="0.2">
      <c r="B11" s="2" t="s">
        <v>7</v>
      </c>
      <c r="C11" s="5">
        <v>1</v>
      </c>
      <c r="D11" t="s">
        <v>8</v>
      </c>
    </row>
    <row r="12" spans="2:8" ht="15.75" x14ac:dyDescent="0.2">
      <c r="B12" s="1" t="s">
        <v>22</v>
      </c>
      <c r="C12" s="9">
        <v>10</v>
      </c>
      <c r="D12" t="s">
        <v>27</v>
      </c>
    </row>
    <row r="13" spans="2:8" ht="15.75" x14ac:dyDescent="0.2">
      <c r="B13" s="1" t="s">
        <v>23</v>
      </c>
      <c r="C13" s="9">
        <v>20</v>
      </c>
      <c r="D13" t="s">
        <v>26</v>
      </c>
    </row>
    <row r="14" spans="2:8" ht="15.75" x14ac:dyDescent="0.2">
      <c r="B14" s="1" t="s">
        <v>24</v>
      </c>
      <c r="C14" s="9">
        <v>30</v>
      </c>
      <c r="D14" t="s">
        <v>25</v>
      </c>
    </row>
    <row r="15" spans="2:8" ht="15.75" x14ac:dyDescent="0.2">
      <c r="B15" s="1" t="s">
        <v>32</v>
      </c>
      <c r="C15" s="9">
        <v>10</v>
      </c>
      <c r="D15" t="s">
        <v>31</v>
      </c>
    </row>
    <row r="16" spans="2:8" ht="15.75" x14ac:dyDescent="0.2">
      <c r="B16" s="1" t="s">
        <v>33</v>
      </c>
      <c r="C16" s="9">
        <v>7</v>
      </c>
      <c r="D16" t="s">
        <v>31</v>
      </c>
    </row>
    <row r="17" spans="2:4" ht="15.75" x14ac:dyDescent="0.2">
      <c r="B17" s="1" t="s">
        <v>34</v>
      </c>
      <c r="C17" s="9">
        <v>4</v>
      </c>
      <c r="D17" t="s">
        <v>31</v>
      </c>
    </row>
    <row r="18" spans="2:4" ht="15.75" x14ac:dyDescent="0.2">
      <c r="B18" s="1" t="s">
        <v>35</v>
      </c>
      <c r="C18" s="9">
        <v>5</v>
      </c>
      <c r="D18" t="s">
        <v>31</v>
      </c>
    </row>
    <row r="19" spans="2:4" ht="15.75" x14ac:dyDescent="0.2">
      <c r="B19" s="10" t="s">
        <v>36</v>
      </c>
      <c r="C19" s="11">
        <f>SUM(C15:C17)/C8</f>
        <v>7</v>
      </c>
    </row>
    <row r="20" spans="2:4" ht="15.75" x14ac:dyDescent="0.2">
      <c r="B20" s="10" t="s">
        <v>11</v>
      </c>
      <c r="C20" s="11">
        <f>C19</f>
        <v>7</v>
      </c>
    </row>
    <row r="21" spans="2:4" ht="15.75" x14ac:dyDescent="0.2">
      <c r="B21" s="10" t="s">
        <v>28</v>
      </c>
      <c r="C21" s="9">
        <v>1</v>
      </c>
    </row>
    <row r="22" spans="2:4" ht="15.75" x14ac:dyDescent="0.2">
      <c r="B22" s="10" t="s">
        <v>29</v>
      </c>
      <c r="C22" s="9">
        <v>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D9"/>
  <sheetViews>
    <sheetView workbookViewId="0">
      <selection activeCell="D16" sqref="D16"/>
    </sheetView>
  </sheetViews>
  <sheetFormatPr defaultRowHeight="14.25" x14ac:dyDescent="0.2"/>
  <cols>
    <col min="2" max="2" width="12.375" customWidth="1"/>
    <col min="3" max="3" width="18.375" customWidth="1"/>
    <col min="4" max="4" width="27.625" customWidth="1"/>
  </cols>
  <sheetData>
    <row r="4" spans="2:4" x14ac:dyDescent="0.2">
      <c r="B4" s="13" t="s">
        <v>43</v>
      </c>
      <c r="C4" s="13" t="s">
        <v>45</v>
      </c>
      <c r="D4" s="13" t="s">
        <v>44</v>
      </c>
    </row>
    <row r="5" spans="2:4" x14ac:dyDescent="0.2">
      <c r="B5" s="14">
        <v>1</v>
      </c>
      <c r="C5">
        <f>1+D5</f>
        <v>1</v>
      </c>
      <c r="D5">
        <v>0</v>
      </c>
    </row>
    <row r="6" spans="2:4" x14ac:dyDescent="0.2">
      <c r="B6" s="14">
        <v>2</v>
      </c>
      <c r="C6">
        <f t="shared" ref="C6:C9" si="0">1+D6</f>
        <v>1.1499999999999999</v>
      </c>
      <c r="D6">
        <v>0.15</v>
      </c>
    </row>
    <row r="7" spans="2:4" x14ac:dyDescent="0.2">
      <c r="B7" s="14">
        <v>3</v>
      </c>
      <c r="C7">
        <f t="shared" si="0"/>
        <v>1.3</v>
      </c>
      <c r="D7">
        <v>0.3</v>
      </c>
    </row>
    <row r="8" spans="2:4" x14ac:dyDescent="0.2">
      <c r="B8" s="14">
        <v>4</v>
      </c>
      <c r="C8">
        <f t="shared" si="0"/>
        <v>1.45</v>
      </c>
      <c r="D8">
        <v>0.45</v>
      </c>
    </row>
    <row r="9" spans="2:4" x14ac:dyDescent="0.2">
      <c r="B9" s="14">
        <v>5</v>
      </c>
      <c r="C9">
        <f t="shared" si="0"/>
        <v>1.6</v>
      </c>
      <c r="D9">
        <v>0.6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33"/>
  <sheetViews>
    <sheetView tabSelected="1" workbookViewId="0">
      <selection activeCell="M19" sqref="M19"/>
    </sheetView>
  </sheetViews>
  <sheetFormatPr defaultRowHeight="14.25" x14ac:dyDescent="0.2"/>
  <sheetData>
    <row r="2" spans="2:7" x14ac:dyDescent="0.2">
      <c r="B2" t="s">
        <v>30</v>
      </c>
      <c r="G2" t="s">
        <v>40</v>
      </c>
    </row>
    <row r="7" spans="2:7" ht="15.75" x14ac:dyDescent="0.2">
      <c r="B7" s="7" t="s">
        <v>21</v>
      </c>
    </row>
    <row r="9" spans="2:7" ht="15.75" x14ac:dyDescent="0.2">
      <c r="B9" s="7" t="s">
        <v>41</v>
      </c>
    </row>
    <row r="11" spans="2:7" ht="15.75" x14ac:dyDescent="0.25">
      <c r="B11" s="8" t="s">
        <v>42</v>
      </c>
    </row>
    <row r="13" spans="2:7" ht="15.75" x14ac:dyDescent="0.25">
      <c r="B13" s="8" t="s">
        <v>48</v>
      </c>
    </row>
    <row r="15" spans="2:7" ht="15.75" x14ac:dyDescent="0.25">
      <c r="B15" s="8" t="s">
        <v>12</v>
      </c>
    </row>
    <row r="16" spans="2:7" ht="15.75" x14ac:dyDescent="0.25">
      <c r="B16" s="8"/>
    </row>
    <row r="17" spans="2:3" ht="15.75" x14ac:dyDescent="0.25">
      <c r="B17" s="8" t="s">
        <v>46</v>
      </c>
      <c r="C17" t="s">
        <v>47</v>
      </c>
    </row>
    <row r="19" spans="2:3" ht="15.75" x14ac:dyDescent="0.25">
      <c r="B19" s="8" t="s">
        <v>13</v>
      </c>
    </row>
    <row r="21" spans="2:3" ht="15.75" x14ac:dyDescent="0.25">
      <c r="B21" s="8" t="s">
        <v>14</v>
      </c>
    </row>
    <row r="23" spans="2:3" ht="15.75" x14ac:dyDescent="0.25">
      <c r="B23" s="8" t="s">
        <v>15</v>
      </c>
    </row>
    <row r="25" spans="2:3" ht="15.75" x14ac:dyDescent="0.25">
      <c r="B25" s="8" t="s">
        <v>16</v>
      </c>
    </row>
    <row r="27" spans="2:3" ht="15.75" x14ac:dyDescent="0.25">
      <c r="B27" s="8" t="s">
        <v>17</v>
      </c>
    </row>
    <row r="29" spans="2:3" ht="15.75" x14ac:dyDescent="0.25">
      <c r="B29" s="8" t="s">
        <v>18</v>
      </c>
    </row>
    <row r="31" spans="2:3" ht="15.75" x14ac:dyDescent="0.25">
      <c r="B31" s="8" t="s">
        <v>19</v>
      </c>
    </row>
    <row r="33" spans="2:2" ht="15.75" x14ac:dyDescent="0.25">
      <c r="B33" s="8" t="s">
        <v>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游戏基本参数</vt:lpstr>
      <vt:lpstr>攻击范围收益倍率</vt:lpstr>
      <vt:lpstr>游戏公式表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2025-04-25T10:28:54Z</dcterms:modified>
</cp:coreProperties>
</file>