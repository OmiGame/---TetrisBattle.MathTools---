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肉鸽技能数据" sheetId="2" r:id="rId1"/>
    <sheet name="Sheet1" sheetId="1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9" i="2"/>
  <c r="H10" i="2"/>
  <c r="H11" i="2"/>
  <c r="H12" i="2"/>
  <c r="H13" i="2"/>
  <c r="H4" i="2"/>
  <c r="G11" i="2" l="1"/>
</calcChain>
</file>

<file path=xl/sharedStrings.xml><?xml version="1.0" encoding="utf-8"?>
<sst xmlns="http://schemas.openxmlformats.org/spreadsheetml/2006/main" count="53" uniqueCount="43">
  <si>
    <t>##var</t>
    <phoneticPr fontId="1" type="noConversion"/>
  </si>
  <si>
    <t>##type</t>
    <phoneticPr fontId="1" type="noConversion"/>
  </si>
  <si>
    <t>string</t>
    <phoneticPr fontId="1" type="noConversion"/>
  </si>
  <si>
    <t>float</t>
    <phoneticPr fontId="1" type="noConversion"/>
  </si>
  <si>
    <t>##</t>
    <phoneticPr fontId="1" type="noConversion"/>
  </si>
  <si>
    <t>肉鸽技能名称</t>
    <phoneticPr fontId="1" type="noConversion"/>
  </si>
  <si>
    <t>肾上腺素</t>
  </si>
  <si>
    <t>意外收获（1级）</t>
    <phoneticPr fontId="1" type="noConversion"/>
  </si>
  <si>
    <t>敢死队</t>
  </si>
  <si>
    <t>保持四行</t>
  </si>
  <si>
    <t>事不过四</t>
  </si>
  <si>
    <t>意外收获（2级）</t>
  </si>
  <si>
    <t>意外收获（3级）</t>
  </si>
  <si>
    <t>肉鸽技能内容</t>
    <phoneticPr fontId="1" type="noConversion"/>
  </si>
  <si>
    <t>棋盘上的有效方块数&lt;30时,小兵攻速+20%</t>
  </si>
  <si>
    <t>每消除8行消除第一行</t>
  </si>
  <si>
    <t>每消除7行消除第一行</t>
  </si>
  <si>
    <t>每消除6行消除第一行</t>
  </si>
  <si>
    <t>方块下落速度+20%，小兵攻击速度+10%</t>
  </si>
  <si>
    <t>底部4行的小兵攻击速度+20%</t>
  </si>
  <si>
    <t>4行上方没有方块时，小兵攻击速度+10%</t>
  </si>
  <si>
    <t>消除倍率</t>
    <phoneticPr fontId="1" type="noConversion"/>
  </si>
  <si>
    <t>每块小兵增加期望值</t>
    <phoneticPr fontId="1" type="noConversion"/>
  </si>
  <si>
    <t>血量加成</t>
    <phoneticPr fontId="1" type="noConversion"/>
  </si>
  <si>
    <t>攻击力加成</t>
    <phoneticPr fontId="1" type="noConversion"/>
  </si>
  <si>
    <t>攻速加成</t>
    <phoneticPr fontId="1" type="noConversion"/>
  </si>
  <si>
    <t>小小小</t>
  </si>
  <si>
    <t>小方块出现时连续出现3个</t>
  </si>
  <si>
    <t>转不动</t>
  </si>
  <si>
    <t>下3个方块不旋转，但是站满小兵</t>
  </si>
  <si>
    <t>耐心学习（1级）</t>
  </si>
  <si>
    <t>方块上的小兵每站一天，提升5%攻击力和血量</t>
  </si>
  <si>
    <t>因为每天都有加成，所以实际上收益会更高，先估计平均每个兵站3天</t>
    <phoneticPr fontId="1" type="noConversion"/>
  </si>
  <si>
    <t>备注</t>
    <phoneticPr fontId="1" type="noConversion"/>
  </si>
  <si>
    <t>选中概率</t>
    <phoneticPr fontId="1" type="noConversion"/>
  </si>
  <si>
    <t>float</t>
    <phoneticPr fontId="1" type="noConversion"/>
  </si>
  <si>
    <t>肉鸽技能名称</t>
    <phoneticPr fontId="1" type="noConversion"/>
  </si>
  <si>
    <t>技能流派</t>
    <phoneticPr fontId="1" type="noConversion"/>
  </si>
  <si>
    <t>string</t>
    <phoneticPr fontId="1" type="noConversion"/>
  </si>
  <si>
    <t>小方块大师</t>
    <phoneticPr fontId="1" type="noConversion"/>
  </si>
  <si>
    <t>全局</t>
    <phoneticPr fontId="1" type="noConversion"/>
  </si>
  <si>
    <t>屯兵大师</t>
    <phoneticPr fontId="1" type="noConversion"/>
  </si>
  <si>
    <t>快消大师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</si>
</sst>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 applyBorder="1"/>
    <xf numFmtId="0" fontId="0" fillId="2" borderId="0" xfId="0" applyFill="1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left" vertical="center"/>
    </xf>
    <xf numFmtId="176" fontId="2" fillId="0" borderId="0" xfId="0" applyNumberFormat="1" applyFont="1" applyBorder="1" applyAlignment="1">
      <alignment horizontal="center" vertical="center"/>
    </xf>
    <xf numFmtId="176" fontId="2" fillId="0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2" borderId="0" xfId="0" applyFill="1" applyBorder="1" applyAlignment="1">
      <alignment horizontal="left"/>
    </xf>
    <xf numFmtId="9" fontId="0" fillId="0" borderId="0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2" fillId="0" borderId="0" xfId="0" applyFont="1" applyAlignment="1"/>
    <xf numFmtId="0" fontId="0" fillId="2" borderId="0" xfId="0" applyFill="1" applyBorder="1" applyAlignment="1">
      <alignment horizontal="center"/>
    </xf>
    <xf numFmtId="0" fontId="0" fillId="3" borderId="0" xfId="0" applyFill="1" applyBorder="1"/>
    <xf numFmtId="0" fontId="0" fillId="3" borderId="0" xfId="0" applyFill="1" applyBorder="1" applyAlignment="1">
      <alignment horizontal="center" vertical="center"/>
    </xf>
    <xf numFmtId="9" fontId="0" fillId="3" borderId="0" xfId="0" applyNumberFormat="1" applyFill="1" applyBorder="1" applyAlignment="1">
      <alignment horizontal="center" vertical="center"/>
    </xf>
    <xf numFmtId="176" fontId="0" fillId="3" borderId="0" xfId="0" applyNumberForma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76" fontId="2" fillId="3" borderId="0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24736;&#25163;&#22909;&#38386;/&#38081;&#22836;&#24037;&#20316;&#23460;/&#26041;&#22359;&#39033;&#30446;&#35774;&#35745;&#26696;/&#12298;&#20914;&#29579;&#12299;&#25968;&#20540;&#35745;&#31639;&#34920;/&#25972;&#20307;&#21442;&#2596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整体参数"/>
      <sheetName val="整体参数 (原)"/>
      <sheetName val="玩家操作评估"/>
      <sheetName val="属性系数和特效系数"/>
      <sheetName val="属性系数和特效系数 (原)"/>
      <sheetName val="英雄及其肉鸽技能战力计算"/>
      <sheetName val="消除倍率计算"/>
      <sheetName val="加入全局后的英雄战力计算"/>
      <sheetName val="废稿"/>
      <sheetName val="队伍搭配合理性计算"/>
      <sheetName val="塔承伤机制计算"/>
      <sheetName val="肉鸽技能池规划"/>
    </sheetNames>
    <sheetDataSet>
      <sheetData sheetId="0"/>
      <sheetData sheetId="1"/>
      <sheetData sheetId="2"/>
      <sheetData sheetId="3"/>
      <sheetData sheetId="4"/>
      <sheetData sheetId="5"/>
      <sheetData sheetId="6">
        <row r="202">
          <cell r="G202">
            <v>0.28499999999999992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tabSelected="1" workbookViewId="0">
      <selection activeCell="E18" sqref="E18"/>
    </sheetView>
  </sheetViews>
  <sheetFormatPr defaultRowHeight="14.25" x14ac:dyDescent="0.2"/>
  <cols>
    <col min="1" max="1" width="9" style="3"/>
    <col min="2" max="2" width="23.5" style="3" customWidth="1"/>
    <col min="3" max="3" width="9" style="7"/>
    <col min="4" max="4" width="14.625" style="7" customWidth="1"/>
    <col min="5" max="5" width="12.625" style="7" customWidth="1"/>
    <col min="6" max="6" width="14.25" style="7" customWidth="1"/>
    <col min="7" max="9" width="21.625" style="7" customWidth="1"/>
    <col min="10" max="10" width="50.625" style="8" customWidth="1"/>
    <col min="11" max="16384" width="9" style="3"/>
  </cols>
  <sheetData>
    <row r="1" spans="1:11" s="1" customFormat="1" x14ac:dyDescent="0.2">
      <c r="A1" s="1" t="s">
        <v>0</v>
      </c>
      <c r="B1" s="1" t="s">
        <v>5</v>
      </c>
      <c r="C1" s="2" t="s">
        <v>23</v>
      </c>
      <c r="D1" s="2" t="s">
        <v>24</v>
      </c>
      <c r="E1" s="2" t="s">
        <v>25</v>
      </c>
      <c r="F1" s="2" t="s">
        <v>21</v>
      </c>
      <c r="G1" s="2" t="s">
        <v>22</v>
      </c>
      <c r="H1" s="2" t="s">
        <v>34</v>
      </c>
      <c r="I1" s="2" t="s">
        <v>37</v>
      </c>
      <c r="J1" s="9"/>
    </row>
    <row r="2" spans="1:11" s="1" customFormat="1" x14ac:dyDescent="0.2">
      <c r="A2" s="1" t="s">
        <v>1</v>
      </c>
      <c r="B2" s="1" t="s">
        <v>2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35</v>
      </c>
      <c r="I2" s="2" t="s">
        <v>38</v>
      </c>
      <c r="J2" s="9"/>
    </row>
    <row r="3" spans="1:11" s="1" customFormat="1" x14ac:dyDescent="0.2">
      <c r="A3" s="1" t="s">
        <v>4</v>
      </c>
      <c r="B3" s="1" t="s">
        <v>36</v>
      </c>
      <c r="C3" s="2"/>
      <c r="D3" s="2"/>
      <c r="E3" s="2"/>
      <c r="F3" s="2"/>
      <c r="G3" s="2"/>
      <c r="H3" s="2"/>
      <c r="I3" s="2"/>
      <c r="J3" s="9" t="s">
        <v>13</v>
      </c>
      <c r="K3" s="13" t="s">
        <v>33</v>
      </c>
    </row>
    <row r="4" spans="1:11" s="14" customFormat="1" ht="15.75" x14ac:dyDescent="0.2">
      <c r="B4" s="14" t="s">
        <v>6</v>
      </c>
      <c r="C4" s="15">
        <v>0</v>
      </c>
      <c r="D4" s="15">
        <v>0</v>
      </c>
      <c r="E4" s="16">
        <v>0.1</v>
      </c>
      <c r="F4" s="17">
        <v>1</v>
      </c>
      <c r="G4" s="15">
        <v>0</v>
      </c>
      <c r="H4" s="15">
        <f>1/(COUNTA(B:B)-3)</f>
        <v>0.1</v>
      </c>
      <c r="I4" s="15" t="s">
        <v>42</v>
      </c>
      <c r="J4" s="18" t="s">
        <v>14</v>
      </c>
    </row>
    <row r="5" spans="1:11" ht="15.75" x14ac:dyDescent="0.2">
      <c r="B5" s="3" t="s">
        <v>7</v>
      </c>
      <c r="C5" s="7">
        <v>0</v>
      </c>
      <c r="D5" s="7">
        <v>0</v>
      </c>
      <c r="E5" s="7">
        <v>0</v>
      </c>
      <c r="F5" s="11">
        <v>1.125</v>
      </c>
      <c r="G5" s="7">
        <v>0</v>
      </c>
      <c r="H5" s="7">
        <f t="shared" ref="H5:H13" si="0">1/(COUNTA(B:B)-3)</f>
        <v>0.1</v>
      </c>
      <c r="I5" s="7" t="s">
        <v>42</v>
      </c>
      <c r="J5" s="4" t="s">
        <v>15</v>
      </c>
    </row>
    <row r="6" spans="1:11" ht="15.75" x14ac:dyDescent="0.2">
      <c r="B6" s="3" t="s">
        <v>11</v>
      </c>
      <c r="C6" s="7">
        <v>0</v>
      </c>
      <c r="D6" s="7">
        <v>0</v>
      </c>
      <c r="E6" s="7">
        <v>0</v>
      </c>
      <c r="F6" s="11">
        <v>1.1428571428571428</v>
      </c>
      <c r="G6" s="7">
        <v>0</v>
      </c>
      <c r="H6" s="7">
        <f t="shared" si="0"/>
        <v>0.1</v>
      </c>
      <c r="I6" s="7" t="s">
        <v>42</v>
      </c>
      <c r="J6" s="4" t="s">
        <v>16</v>
      </c>
    </row>
    <row r="7" spans="1:11" s="14" customFormat="1" ht="15.75" x14ac:dyDescent="0.2">
      <c r="B7" s="14" t="s">
        <v>12</v>
      </c>
      <c r="C7" s="15">
        <v>0</v>
      </c>
      <c r="D7" s="15">
        <v>0</v>
      </c>
      <c r="E7" s="15">
        <v>0</v>
      </c>
      <c r="F7" s="17">
        <v>1.1666666666666667</v>
      </c>
      <c r="G7" s="15">
        <v>0</v>
      </c>
      <c r="H7" s="15">
        <f t="shared" si="0"/>
        <v>0.1</v>
      </c>
      <c r="I7" s="15" t="s">
        <v>42</v>
      </c>
      <c r="J7" s="18" t="s">
        <v>17</v>
      </c>
    </row>
    <row r="8" spans="1:11" s="14" customFormat="1" ht="15.75" x14ac:dyDescent="0.2">
      <c r="B8" s="14" t="s">
        <v>8</v>
      </c>
      <c r="C8" s="15">
        <v>0</v>
      </c>
      <c r="D8" s="15">
        <v>0</v>
      </c>
      <c r="E8" s="16">
        <v>0.1</v>
      </c>
      <c r="F8" s="17">
        <v>0.88339222614840984</v>
      </c>
      <c r="G8" s="15">
        <v>0</v>
      </c>
      <c r="H8" s="15">
        <f t="shared" si="0"/>
        <v>0.1</v>
      </c>
      <c r="I8" s="15" t="s">
        <v>42</v>
      </c>
      <c r="J8" s="18" t="s">
        <v>18</v>
      </c>
    </row>
    <row r="9" spans="1:11" ht="15.75" x14ac:dyDescent="0.2">
      <c r="B9" s="3" t="s">
        <v>9</v>
      </c>
      <c r="C9" s="7">
        <v>0</v>
      </c>
      <c r="D9" s="7">
        <v>0</v>
      </c>
      <c r="E9" s="10">
        <v>0.2</v>
      </c>
      <c r="F9" s="11">
        <v>1</v>
      </c>
      <c r="G9" s="7">
        <v>0</v>
      </c>
      <c r="H9" s="7">
        <f t="shared" si="0"/>
        <v>0.1</v>
      </c>
      <c r="I9" s="7" t="s">
        <v>40</v>
      </c>
      <c r="J9" s="4" t="s">
        <v>19</v>
      </c>
    </row>
    <row r="10" spans="1:11" ht="15.75" x14ac:dyDescent="0.2">
      <c r="B10" s="3" t="s">
        <v>10</v>
      </c>
      <c r="C10" s="7">
        <v>0</v>
      </c>
      <c r="D10" s="7">
        <v>0</v>
      </c>
      <c r="E10" s="10">
        <v>0.1</v>
      </c>
      <c r="F10" s="11">
        <v>1</v>
      </c>
      <c r="G10" s="7">
        <v>0</v>
      </c>
      <c r="H10" s="7">
        <f t="shared" si="0"/>
        <v>0.1</v>
      </c>
      <c r="I10" s="7" t="s">
        <v>42</v>
      </c>
      <c r="J10" s="4" t="s">
        <v>20</v>
      </c>
    </row>
    <row r="11" spans="1:11" s="14" customFormat="1" ht="15.75" x14ac:dyDescent="0.2">
      <c r="B11" s="14" t="s">
        <v>26</v>
      </c>
      <c r="C11" s="15">
        <v>0</v>
      </c>
      <c r="D11" s="15">
        <v>0</v>
      </c>
      <c r="E11" s="15">
        <v>0</v>
      </c>
      <c r="F11" s="17">
        <v>1.05</v>
      </c>
      <c r="G11" s="15">
        <f>[1]消除倍率计算!$G$202</f>
        <v>0.28499999999999992</v>
      </c>
      <c r="H11" s="15">
        <f t="shared" si="0"/>
        <v>0.1</v>
      </c>
      <c r="I11" s="15" t="s">
        <v>39</v>
      </c>
      <c r="J11" s="18" t="s">
        <v>27</v>
      </c>
    </row>
    <row r="12" spans="1:11" s="14" customFormat="1" ht="15.75" x14ac:dyDescent="0.2">
      <c r="B12" s="14" t="s">
        <v>28</v>
      </c>
      <c r="C12" s="19">
        <v>0</v>
      </c>
      <c r="D12" s="19">
        <v>0</v>
      </c>
      <c r="E12" s="19">
        <v>0</v>
      </c>
      <c r="F12" s="20">
        <v>0.92</v>
      </c>
      <c r="G12" s="15">
        <v>0.08</v>
      </c>
      <c r="H12" s="15">
        <f t="shared" si="0"/>
        <v>0.1</v>
      </c>
      <c r="I12" s="15" t="s">
        <v>40</v>
      </c>
      <c r="J12" s="18" t="s">
        <v>29</v>
      </c>
    </row>
    <row r="13" spans="1:11" ht="15.75" x14ac:dyDescent="0.25">
      <c r="B13" s="3" t="s">
        <v>30</v>
      </c>
      <c r="C13" s="5">
        <v>0.15000000000000002</v>
      </c>
      <c r="D13" s="5">
        <v>0.15000000000000002</v>
      </c>
      <c r="E13" s="5">
        <v>0</v>
      </c>
      <c r="F13" s="5">
        <v>1</v>
      </c>
      <c r="G13" s="7">
        <v>0</v>
      </c>
      <c r="H13" s="7">
        <f t="shared" si="0"/>
        <v>0.1</v>
      </c>
      <c r="I13" s="7" t="s">
        <v>41</v>
      </c>
      <c r="J13" s="4" t="s">
        <v>31</v>
      </c>
      <c r="K13" s="12" t="s">
        <v>32</v>
      </c>
    </row>
    <row r="14" spans="1:11" ht="15.75" x14ac:dyDescent="0.2">
      <c r="C14" s="5"/>
      <c r="D14" s="5"/>
      <c r="E14" s="5"/>
      <c r="F14" s="5"/>
      <c r="J14" s="4"/>
      <c r="K14" s="8"/>
    </row>
    <row r="15" spans="1:11" ht="15.75" x14ac:dyDescent="0.2">
      <c r="C15" s="5"/>
      <c r="D15" s="5"/>
      <c r="E15" s="5"/>
      <c r="F15" s="5"/>
      <c r="J15" s="4"/>
      <c r="K15" s="8"/>
    </row>
    <row r="16" spans="1:11" ht="15.75" x14ac:dyDescent="0.2">
      <c r="C16" s="5"/>
      <c r="D16" s="5"/>
      <c r="E16" s="5"/>
      <c r="F16" s="5"/>
      <c r="J16" s="4"/>
    </row>
    <row r="17" spans="3:10" ht="15.75" x14ac:dyDescent="0.2">
      <c r="C17" s="5"/>
      <c r="D17" s="5"/>
      <c r="E17" s="5"/>
      <c r="F17" s="6"/>
      <c r="J1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肉鸽技能数据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2025-04-26T18:16:10Z</dcterms:modified>
</cp:coreProperties>
</file>