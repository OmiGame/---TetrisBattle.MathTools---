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肉鸽技能数据" sheetId="2" r:id="rId1"/>
    <sheet name="Sheet1" sheetId="1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" l="1"/>
  <c r="H4" i="2" l="1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F26" i="2" l="1"/>
  <c r="H5" i="2" l="1"/>
  <c r="H6" i="2"/>
  <c r="H7" i="2"/>
  <c r="H8" i="2"/>
  <c r="H9" i="2"/>
  <c r="H10" i="2"/>
  <c r="H11" i="2"/>
  <c r="H12" i="2"/>
  <c r="H13" i="2"/>
</calcChain>
</file>

<file path=xl/sharedStrings.xml><?xml version="1.0" encoding="utf-8"?>
<sst xmlns="http://schemas.openxmlformats.org/spreadsheetml/2006/main" count="117" uniqueCount="78">
  <si>
    <t>##var</t>
    <phoneticPr fontId="1" type="noConversion"/>
  </si>
  <si>
    <t>##type</t>
    <phoneticPr fontId="1" type="noConversion"/>
  </si>
  <si>
    <t>string</t>
    <phoneticPr fontId="1" type="noConversion"/>
  </si>
  <si>
    <t>float</t>
    <phoneticPr fontId="1" type="noConversion"/>
  </si>
  <si>
    <t>##</t>
    <phoneticPr fontId="1" type="noConversion"/>
  </si>
  <si>
    <t>肉鸽技能名称</t>
    <phoneticPr fontId="1" type="noConversion"/>
  </si>
  <si>
    <t>敢死队</t>
  </si>
  <si>
    <t>保持四行</t>
  </si>
  <si>
    <t>事不过四</t>
  </si>
  <si>
    <t>意外收获（2级）</t>
  </si>
  <si>
    <t>意外收获（3级）</t>
  </si>
  <si>
    <t>肉鸽技能内容</t>
    <phoneticPr fontId="1" type="noConversion"/>
  </si>
  <si>
    <t>每消除8行消除第一行</t>
  </si>
  <si>
    <t>每消除7行消除第一行</t>
  </si>
  <si>
    <t>每消除6行消除第一行</t>
  </si>
  <si>
    <t>方块下落速度+20%，小兵攻击速度+10%</t>
  </si>
  <si>
    <t>底部4行的小兵攻击速度+20%</t>
  </si>
  <si>
    <t>消除倍率</t>
    <phoneticPr fontId="1" type="noConversion"/>
  </si>
  <si>
    <t>每块小兵增加期望值</t>
    <phoneticPr fontId="1" type="noConversion"/>
  </si>
  <si>
    <t>血量加成</t>
    <phoneticPr fontId="1" type="noConversion"/>
  </si>
  <si>
    <t>攻击力加成</t>
    <phoneticPr fontId="1" type="noConversion"/>
  </si>
  <si>
    <t>攻速加成</t>
    <phoneticPr fontId="1" type="noConversion"/>
  </si>
  <si>
    <t>因为每天都有加成，所以实际上收益会更高，先估计平均每个兵站3天</t>
    <phoneticPr fontId="1" type="noConversion"/>
  </si>
  <si>
    <t>备注</t>
    <phoneticPr fontId="1" type="noConversion"/>
  </si>
  <si>
    <t>选中概率</t>
    <phoneticPr fontId="1" type="noConversion"/>
  </si>
  <si>
    <t>float</t>
    <phoneticPr fontId="1" type="noConversion"/>
  </si>
  <si>
    <t>肉鸽技能名称</t>
    <phoneticPr fontId="1" type="noConversion"/>
  </si>
  <si>
    <t>技能流派</t>
    <phoneticPr fontId="1" type="noConversion"/>
  </si>
  <si>
    <t>string</t>
    <phoneticPr fontId="1" type="noConversion"/>
  </si>
  <si>
    <t>意外收获（1级）</t>
  </si>
  <si>
    <t>连锁反应</t>
  </si>
  <si>
    <t>一柱擎天（1级）</t>
  </si>
  <si>
    <t>一柱擎天（2级）</t>
  </si>
  <si>
    <t>一柱擎天（3级）</t>
  </si>
  <si>
    <t>小方块雨</t>
    <phoneticPr fontId="1" type="noConversion"/>
  </si>
  <si>
    <t>不稳定的方块</t>
    <phoneticPr fontId="1" type="noConversion"/>
  </si>
  <si>
    <t>人多势众2</t>
    <phoneticPr fontId="1" type="noConversion"/>
  </si>
  <si>
    <t>小巧灵动</t>
    <phoneticPr fontId="1" type="noConversion"/>
  </si>
  <si>
    <t>人多势众1</t>
    <phoneticPr fontId="1" type="noConversion"/>
  </si>
  <si>
    <t>人多势众3</t>
  </si>
  <si>
    <t>人多势众4</t>
  </si>
  <si>
    <t>人多势众5</t>
  </si>
  <si>
    <t>人多势众6</t>
  </si>
  <si>
    <t>人多势众7</t>
  </si>
  <si>
    <t>转不动</t>
    <phoneticPr fontId="1" type="noConversion"/>
  </si>
  <si>
    <t>冒险主义</t>
  </si>
  <si>
    <t>无限火力</t>
  </si>
  <si>
    <t>紧急防御</t>
  </si>
  <si>
    <t>顽强</t>
  </si>
  <si>
    <t>熟练</t>
  </si>
  <si>
    <t>用力</t>
    <phoneticPr fontId="1" type="noConversion"/>
  </si>
  <si>
    <t>急行军</t>
    <phoneticPr fontId="1" type="noConversion"/>
  </si>
  <si>
    <t>生生不息</t>
  </si>
  <si>
    <t>休养生息</t>
    <phoneticPr fontId="1" type="noConversion"/>
  </si>
  <si>
    <t>短小精悍</t>
    <phoneticPr fontId="1" type="noConversion"/>
  </si>
  <si>
    <t>4行上方没有方块时，小兵攻击速度+20%</t>
    <phoneticPr fontId="1" type="noConversion"/>
  </si>
  <si>
    <t>每生成9个方块，必出现1个I型方块</t>
    <phoneticPr fontId="1" type="noConversion"/>
  </si>
  <si>
    <t>每生成8个方块，必出现1个I型方块</t>
    <phoneticPr fontId="1" type="noConversion"/>
  </si>
  <si>
    <t>每生成7个方块，必出现1个I型方块</t>
    <phoneticPr fontId="1" type="noConversion"/>
  </si>
  <si>
    <t>4消后，下一个方块必定是I型</t>
    <phoneticPr fontId="1" type="noConversion"/>
  </si>
  <si>
    <t>O形方块100%的概率变成小方块</t>
    <phoneticPr fontId="1" type="noConversion"/>
  </si>
  <si>
    <t>小方块上的士兵所有属性提高50%</t>
    <phoneticPr fontId="1" type="noConversion"/>
  </si>
  <si>
    <t>小方块的最高级——能穿透到最下方</t>
    <phoneticPr fontId="1" type="noConversion"/>
  </si>
  <si>
    <t>XX型方块上可以多站1个小兵</t>
    <phoneticPr fontId="1" type="noConversion"/>
  </si>
  <si>
    <t>下3个方块不旋转，但是站满小兵</t>
    <phoneticPr fontId="1" type="noConversion"/>
  </si>
  <si>
    <t>行数-3，全体小兵+40%攻击力</t>
    <phoneticPr fontId="1" type="noConversion"/>
  </si>
  <si>
    <t>献祭全体小兵20%的生命值，换取25%的攻速</t>
    <phoneticPr fontId="1" type="noConversion"/>
  </si>
  <si>
    <t>塔血量一次性恢复+20%</t>
    <phoneticPr fontId="1" type="noConversion"/>
  </si>
  <si>
    <t>所有小兵血量+20%</t>
    <phoneticPr fontId="1" type="noConversion"/>
  </si>
  <si>
    <t>所有小兵攻击速度+10%</t>
    <phoneticPr fontId="1" type="noConversion"/>
  </si>
  <si>
    <t>所有小兵攻击力+10%</t>
    <phoneticPr fontId="1" type="noConversion"/>
  </si>
  <si>
    <t>选完肉鸽技能后，城堡恢复10%血量</t>
    <phoneticPr fontId="1" type="noConversion"/>
  </si>
  <si>
    <t>城堡最大血量增加10%，士兵的攻击力提高10%</t>
  </si>
  <si>
    <t>XX型方块上可以多站1个小兵</t>
    <phoneticPr fontId="1" type="noConversion"/>
  </si>
  <si>
    <t>小兵移动速度+20%</t>
    <phoneticPr fontId="1" type="noConversion"/>
  </si>
  <si>
    <t>现在已经没了</t>
    <phoneticPr fontId="1" type="noConversion"/>
  </si>
  <si>
    <t>无</t>
    <phoneticPr fontId="1" type="noConversion"/>
  </si>
  <si>
    <t>自动下10个小方块帮助消除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</si>
</sst>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0" fillId="0" borderId="0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736;&#25163;&#22909;&#38386;/&#38081;&#22836;&#24037;&#20316;&#23460;/&#26041;&#22359;&#39033;&#30446;&#35774;&#35745;&#26696;/&#12298;&#20914;&#29579;&#12299;&#25968;&#20540;&#35745;&#31639;&#34920;/&#25972;&#20307;&#21442;&#2596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整体参数"/>
      <sheetName val="整体参数 (原)"/>
      <sheetName val="玩家操作评估"/>
      <sheetName val="属性系数和特效系数"/>
      <sheetName val="属性系数和特效系数 (原)"/>
      <sheetName val="英雄及其肉鸽技能战力计算"/>
      <sheetName val="消除倍率计算"/>
      <sheetName val="加入全局后的英雄战力计算"/>
      <sheetName val="废稿"/>
      <sheetName val="队伍搭配合理性计算"/>
      <sheetName val="塔承伤机制计算"/>
      <sheetName val="肉鸽技能池规划"/>
    </sheetNames>
    <sheetDataSet>
      <sheetData sheetId="0"/>
      <sheetData sheetId="1"/>
      <sheetData sheetId="2"/>
      <sheetData sheetId="3"/>
      <sheetData sheetId="4"/>
      <sheetData sheetId="5"/>
      <sheetData sheetId="6">
        <row r="92">
          <cell r="D92">
            <v>0.86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D32" sqref="D32"/>
    </sheetView>
  </sheetViews>
  <sheetFormatPr defaultRowHeight="14.25" x14ac:dyDescent="0.2"/>
  <cols>
    <col min="1" max="1" width="9" style="3"/>
    <col min="2" max="2" width="23.5" style="3" customWidth="1"/>
    <col min="3" max="3" width="9" style="4"/>
    <col min="4" max="4" width="14.625" style="4" customWidth="1"/>
    <col min="5" max="5" width="12.625" style="4" customWidth="1"/>
    <col min="6" max="6" width="14.25" style="4" customWidth="1"/>
    <col min="7" max="9" width="21.625" style="4" customWidth="1"/>
    <col min="10" max="10" width="50.625" style="5" customWidth="1"/>
    <col min="11" max="16384" width="9" style="3"/>
  </cols>
  <sheetData>
    <row r="1" spans="1:11" s="1" customFormat="1" x14ac:dyDescent="0.2">
      <c r="A1" s="1" t="s">
        <v>0</v>
      </c>
      <c r="B1" s="1" t="s">
        <v>5</v>
      </c>
      <c r="C1" s="2" t="s">
        <v>19</v>
      </c>
      <c r="D1" s="2" t="s">
        <v>20</v>
      </c>
      <c r="E1" s="2" t="s">
        <v>21</v>
      </c>
      <c r="F1" s="2" t="s">
        <v>17</v>
      </c>
      <c r="G1" s="2" t="s">
        <v>18</v>
      </c>
      <c r="H1" s="2" t="s">
        <v>24</v>
      </c>
      <c r="I1" s="2" t="s">
        <v>27</v>
      </c>
      <c r="J1" s="6"/>
    </row>
    <row r="2" spans="1:11" s="1" customFormat="1" x14ac:dyDescent="0.2">
      <c r="A2" s="1" t="s">
        <v>1</v>
      </c>
      <c r="B2" s="1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25</v>
      </c>
      <c r="I2" s="2" t="s">
        <v>28</v>
      </c>
      <c r="J2" s="6"/>
    </row>
    <row r="3" spans="1:11" s="1" customFormat="1" x14ac:dyDescent="0.2">
      <c r="A3" s="1" t="s">
        <v>4</v>
      </c>
      <c r="B3" s="1" t="s">
        <v>26</v>
      </c>
      <c r="C3" s="2"/>
      <c r="D3" s="2"/>
      <c r="E3" s="2"/>
      <c r="F3" s="2"/>
      <c r="G3" s="2"/>
      <c r="H3" s="2"/>
      <c r="I3" s="2" t="s">
        <v>75</v>
      </c>
      <c r="J3" s="6" t="s">
        <v>11</v>
      </c>
      <c r="K3" s="7" t="s">
        <v>23</v>
      </c>
    </row>
    <row r="4" spans="1:11" s="8" customFormat="1" ht="15.75" x14ac:dyDescent="0.2">
      <c r="B4" s="8" t="s">
        <v>29</v>
      </c>
      <c r="C4" s="10">
        <v>0</v>
      </c>
      <c r="D4" s="10">
        <v>0</v>
      </c>
      <c r="E4" s="10">
        <v>0</v>
      </c>
      <c r="F4" s="11">
        <v>1.1000000000000001</v>
      </c>
      <c r="G4" s="9">
        <v>0</v>
      </c>
      <c r="H4" s="9">
        <f t="shared" ref="H4:H35" si="0">1/(COUNTA(B:B)-3)</f>
        <v>3.2258064516129031E-2</v>
      </c>
      <c r="I4" s="9" t="s">
        <v>76</v>
      </c>
      <c r="J4" s="12" t="s">
        <v>12</v>
      </c>
    </row>
    <row r="5" spans="1:11" s="8" customFormat="1" ht="15.75" x14ac:dyDescent="0.2">
      <c r="B5" s="8" t="s">
        <v>9</v>
      </c>
      <c r="C5" s="10">
        <v>0</v>
      </c>
      <c r="D5" s="10">
        <v>0</v>
      </c>
      <c r="E5" s="10">
        <v>0</v>
      </c>
      <c r="F5" s="11">
        <v>1.1200000000000001</v>
      </c>
      <c r="G5" s="9">
        <v>0</v>
      </c>
      <c r="H5" s="9">
        <f t="shared" si="0"/>
        <v>3.2258064516129031E-2</v>
      </c>
      <c r="I5" s="9" t="s">
        <v>76</v>
      </c>
      <c r="J5" s="12" t="s">
        <v>13</v>
      </c>
    </row>
    <row r="6" spans="1:11" s="8" customFormat="1" ht="15.75" x14ac:dyDescent="0.2">
      <c r="B6" s="8" t="s">
        <v>10</v>
      </c>
      <c r="C6" s="10">
        <v>0</v>
      </c>
      <c r="D6" s="10">
        <v>0</v>
      </c>
      <c r="E6" s="10">
        <v>0</v>
      </c>
      <c r="F6" s="11">
        <v>1.1299999999999999</v>
      </c>
      <c r="G6" s="9">
        <v>0</v>
      </c>
      <c r="H6" s="9">
        <f t="shared" si="0"/>
        <v>3.2258064516129031E-2</v>
      </c>
      <c r="I6" s="9" t="s">
        <v>76</v>
      </c>
      <c r="J6" s="12" t="s">
        <v>14</v>
      </c>
    </row>
    <row r="7" spans="1:11" s="8" customFormat="1" ht="15.75" x14ac:dyDescent="0.2">
      <c r="B7" s="8" t="s">
        <v>6</v>
      </c>
      <c r="C7" s="10">
        <v>0</v>
      </c>
      <c r="D7" s="10">
        <v>0</v>
      </c>
      <c r="E7" s="10">
        <v>0.1</v>
      </c>
      <c r="F7" s="11">
        <v>0.88339222614840984</v>
      </c>
      <c r="G7" s="9">
        <v>0</v>
      </c>
      <c r="H7" s="9">
        <f t="shared" si="0"/>
        <v>3.2258064516129031E-2</v>
      </c>
      <c r="I7" s="9" t="s">
        <v>76</v>
      </c>
      <c r="J7" s="12" t="s">
        <v>15</v>
      </c>
    </row>
    <row r="8" spans="1:11" s="8" customFormat="1" ht="15.75" x14ac:dyDescent="0.2">
      <c r="B8" s="8" t="s">
        <v>7</v>
      </c>
      <c r="C8" s="10">
        <v>0</v>
      </c>
      <c r="D8" s="10">
        <v>0</v>
      </c>
      <c r="E8" s="10">
        <v>0.2</v>
      </c>
      <c r="F8" s="11">
        <v>1</v>
      </c>
      <c r="G8" s="9">
        <v>0</v>
      </c>
      <c r="H8" s="9">
        <f t="shared" si="0"/>
        <v>3.2258064516129031E-2</v>
      </c>
      <c r="I8" s="9" t="s">
        <v>76</v>
      </c>
      <c r="J8" s="12" t="s">
        <v>16</v>
      </c>
    </row>
    <row r="9" spans="1:11" s="8" customFormat="1" ht="15.75" x14ac:dyDescent="0.2">
      <c r="B9" s="8" t="s">
        <v>8</v>
      </c>
      <c r="C9" s="10">
        <v>0</v>
      </c>
      <c r="D9" s="10">
        <v>0.2</v>
      </c>
      <c r="E9" s="10">
        <v>0</v>
      </c>
      <c r="F9" s="11">
        <v>1</v>
      </c>
      <c r="G9" s="9">
        <v>0</v>
      </c>
      <c r="H9" s="9">
        <f t="shared" si="0"/>
        <v>3.2258064516129031E-2</v>
      </c>
      <c r="I9" s="9" t="s">
        <v>76</v>
      </c>
      <c r="J9" s="12" t="s">
        <v>55</v>
      </c>
    </row>
    <row r="10" spans="1:11" s="8" customFormat="1" ht="15.75" x14ac:dyDescent="0.2">
      <c r="B10" s="8" t="s">
        <v>31</v>
      </c>
      <c r="C10" s="10">
        <v>0</v>
      </c>
      <c r="D10" s="10">
        <v>0</v>
      </c>
      <c r="E10" s="10">
        <v>0</v>
      </c>
      <c r="F10" s="11">
        <v>1.2</v>
      </c>
      <c r="G10" s="9">
        <v>0</v>
      </c>
      <c r="H10" s="9">
        <f t="shared" si="0"/>
        <v>3.2258064516129031E-2</v>
      </c>
      <c r="I10" s="9" t="s">
        <v>76</v>
      </c>
      <c r="J10" s="12" t="s">
        <v>56</v>
      </c>
    </row>
    <row r="11" spans="1:11" s="8" customFormat="1" ht="15.75" x14ac:dyDescent="0.2">
      <c r="B11" s="8" t="s">
        <v>32</v>
      </c>
      <c r="C11" s="10">
        <v>0</v>
      </c>
      <c r="D11" s="10">
        <v>0</v>
      </c>
      <c r="E11" s="10">
        <v>0</v>
      </c>
      <c r="F11" s="11">
        <v>1.21</v>
      </c>
      <c r="G11" s="9">
        <v>0</v>
      </c>
      <c r="H11" s="9">
        <f t="shared" si="0"/>
        <v>3.2258064516129031E-2</v>
      </c>
      <c r="I11" s="9" t="s">
        <v>76</v>
      </c>
      <c r="J11" s="12" t="s">
        <v>57</v>
      </c>
    </row>
    <row r="12" spans="1:11" s="8" customFormat="1" ht="15.75" x14ac:dyDescent="0.2">
      <c r="B12" s="8" t="s">
        <v>33</v>
      </c>
      <c r="C12" s="10">
        <v>0</v>
      </c>
      <c r="D12" s="10">
        <v>0</v>
      </c>
      <c r="E12" s="10">
        <v>0</v>
      </c>
      <c r="F12" s="11">
        <v>1.22</v>
      </c>
      <c r="G12" s="9">
        <v>0</v>
      </c>
      <c r="H12" s="9">
        <f t="shared" si="0"/>
        <v>3.2258064516129031E-2</v>
      </c>
      <c r="I12" s="9" t="s">
        <v>76</v>
      </c>
      <c r="J12" s="12" t="s">
        <v>58</v>
      </c>
    </row>
    <row r="13" spans="1:11" s="8" customFormat="1" ht="15.75" x14ac:dyDescent="0.25">
      <c r="B13" s="8" t="s">
        <v>30</v>
      </c>
      <c r="C13" s="10">
        <v>0</v>
      </c>
      <c r="D13" s="10">
        <v>0</v>
      </c>
      <c r="E13" s="10">
        <v>0</v>
      </c>
      <c r="F13" s="11">
        <v>1.05</v>
      </c>
      <c r="G13" s="9">
        <v>0</v>
      </c>
      <c r="H13" s="9">
        <f t="shared" si="0"/>
        <v>3.2258064516129031E-2</v>
      </c>
      <c r="I13" s="9" t="s">
        <v>76</v>
      </c>
      <c r="J13" s="12" t="s">
        <v>59</v>
      </c>
      <c r="K13" s="13" t="s">
        <v>22</v>
      </c>
    </row>
    <row r="14" spans="1:11" s="8" customFormat="1" ht="15.75" x14ac:dyDescent="0.2">
      <c r="B14" s="8" t="s">
        <v>35</v>
      </c>
      <c r="C14" s="10">
        <v>0</v>
      </c>
      <c r="D14" s="10">
        <v>0</v>
      </c>
      <c r="E14" s="10">
        <v>0</v>
      </c>
      <c r="F14" s="11">
        <v>1.05</v>
      </c>
      <c r="G14" s="9">
        <v>0</v>
      </c>
      <c r="H14" s="9">
        <f t="shared" si="0"/>
        <v>3.2258064516129031E-2</v>
      </c>
      <c r="I14" s="9" t="s">
        <v>76</v>
      </c>
      <c r="J14" s="12" t="s">
        <v>60</v>
      </c>
      <c r="K14" s="14"/>
    </row>
    <row r="15" spans="1:11" s="8" customFormat="1" ht="15.75" x14ac:dyDescent="0.2">
      <c r="B15" s="8" t="s">
        <v>34</v>
      </c>
      <c r="C15" s="10">
        <v>0</v>
      </c>
      <c r="D15" s="10">
        <v>0</v>
      </c>
      <c r="E15" s="10">
        <v>0</v>
      </c>
      <c r="F15" s="11">
        <v>1.05</v>
      </c>
      <c r="G15" s="9">
        <v>0</v>
      </c>
      <c r="H15" s="9">
        <f t="shared" si="0"/>
        <v>3.2258064516129031E-2</v>
      </c>
      <c r="I15" s="9" t="s">
        <v>76</v>
      </c>
      <c r="J15" s="12" t="s">
        <v>77</v>
      </c>
      <c r="K15" s="14"/>
    </row>
    <row r="16" spans="1:11" s="8" customFormat="1" ht="15.75" x14ac:dyDescent="0.2">
      <c r="B16" s="8" t="s">
        <v>54</v>
      </c>
      <c r="C16" s="10">
        <v>0</v>
      </c>
      <c r="D16" s="10">
        <v>0</v>
      </c>
      <c r="E16" s="10">
        <v>0</v>
      </c>
      <c r="F16" s="11">
        <v>1</v>
      </c>
      <c r="G16" s="9">
        <f>0.143/2</f>
        <v>7.1499999999999994E-2</v>
      </c>
      <c r="H16" s="9">
        <f t="shared" si="0"/>
        <v>3.2258064516129031E-2</v>
      </c>
      <c r="I16" s="9" t="s">
        <v>76</v>
      </c>
      <c r="J16" s="12" t="s">
        <v>61</v>
      </c>
    </row>
    <row r="17" spans="2:10" s="8" customFormat="1" ht="15.75" x14ac:dyDescent="0.2">
      <c r="B17" s="8" t="s">
        <v>37</v>
      </c>
      <c r="C17" s="10">
        <v>0</v>
      </c>
      <c r="D17" s="10">
        <v>0</v>
      </c>
      <c r="E17" s="10">
        <v>0</v>
      </c>
      <c r="F17" s="11">
        <v>1</v>
      </c>
      <c r="G17" s="9">
        <v>0</v>
      </c>
      <c r="H17" s="9">
        <f t="shared" si="0"/>
        <v>3.2258064516129031E-2</v>
      </c>
      <c r="I17" s="9" t="s">
        <v>76</v>
      </c>
      <c r="J17" s="12" t="s">
        <v>62</v>
      </c>
    </row>
    <row r="18" spans="2:10" s="8" customFormat="1" ht="15.75" x14ac:dyDescent="0.2">
      <c r="B18" s="8" t="s">
        <v>38</v>
      </c>
      <c r="C18" s="10">
        <v>0</v>
      </c>
      <c r="D18" s="10">
        <v>0</v>
      </c>
      <c r="E18" s="10">
        <v>0</v>
      </c>
      <c r="F18" s="11">
        <v>1</v>
      </c>
      <c r="G18" s="9">
        <v>0.14299999999999999</v>
      </c>
      <c r="H18" s="9">
        <f t="shared" si="0"/>
        <v>3.2258064516129031E-2</v>
      </c>
      <c r="I18" s="9" t="s">
        <v>76</v>
      </c>
      <c r="J18" s="12" t="s">
        <v>63</v>
      </c>
    </row>
    <row r="19" spans="2:10" s="8" customFormat="1" ht="15.75" x14ac:dyDescent="0.2">
      <c r="B19" s="8" t="s">
        <v>36</v>
      </c>
      <c r="C19" s="10">
        <v>0</v>
      </c>
      <c r="D19" s="10">
        <v>0</v>
      </c>
      <c r="E19" s="10">
        <v>0</v>
      </c>
      <c r="F19" s="11">
        <v>1</v>
      </c>
      <c r="G19" s="9">
        <v>0.14299999999999999</v>
      </c>
      <c r="H19" s="9">
        <f t="shared" si="0"/>
        <v>3.2258064516129031E-2</v>
      </c>
      <c r="I19" s="9" t="s">
        <v>76</v>
      </c>
      <c r="J19" s="12" t="s">
        <v>63</v>
      </c>
    </row>
    <row r="20" spans="2:10" s="8" customFormat="1" ht="15.75" x14ac:dyDescent="0.2">
      <c r="B20" s="8" t="s">
        <v>39</v>
      </c>
      <c r="C20" s="10">
        <v>0</v>
      </c>
      <c r="D20" s="10">
        <v>0</v>
      </c>
      <c r="E20" s="10">
        <v>0</v>
      </c>
      <c r="F20" s="11">
        <v>1</v>
      </c>
      <c r="G20" s="9">
        <v>0.14299999999999999</v>
      </c>
      <c r="H20" s="9">
        <f t="shared" si="0"/>
        <v>3.2258064516129031E-2</v>
      </c>
      <c r="I20" s="9" t="s">
        <v>76</v>
      </c>
      <c r="J20" s="12" t="s">
        <v>63</v>
      </c>
    </row>
    <row r="21" spans="2:10" s="8" customFormat="1" ht="15.75" x14ac:dyDescent="0.2">
      <c r="B21" s="8" t="s">
        <v>40</v>
      </c>
      <c r="C21" s="10">
        <v>0</v>
      </c>
      <c r="D21" s="10">
        <v>0</v>
      </c>
      <c r="E21" s="10">
        <v>0</v>
      </c>
      <c r="F21" s="11">
        <v>1</v>
      </c>
      <c r="G21" s="9">
        <v>0.14299999999999999</v>
      </c>
      <c r="H21" s="9">
        <f t="shared" si="0"/>
        <v>3.2258064516129031E-2</v>
      </c>
      <c r="I21" s="9" t="s">
        <v>76</v>
      </c>
      <c r="J21" s="12" t="s">
        <v>73</v>
      </c>
    </row>
    <row r="22" spans="2:10" s="8" customFormat="1" ht="15.75" x14ac:dyDescent="0.2">
      <c r="B22" s="8" t="s">
        <v>41</v>
      </c>
      <c r="C22" s="10">
        <v>0</v>
      </c>
      <c r="D22" s="10">
        <v>0</v>
      </c>
      <c r="E22" s="10">
        <v>0</v>
      </c>
      <c r="F22" s="11">
        <v>1</v>
      </c>
      <c r="G22" s="9">
        <v>0.14299999999999999</v>
      </c>
      <c r="H22" s="9">
        <f t="shared" si="0"/>
        <v>3.2258064516129031E-2</v>
      </c>
      <c r="I22" s="9" t="s">
        <v>76</v>
      </c>
      <c r="J22" s="12" t="s">
        <v>63</v>
      </c>
    </row>
    <row r="23" spans="2:10" s="8" customFormat="1" ht="15.75" x14ac:dyDescent="0.2">
      <c r="B23" s="8" t="s">
        <v>42</v>
      </c>
      <c r="C23" s="10">
        <v>0</v>
      </c>
      <c r="D23" s="10">
        <v>0</v>
      </c>
      <c r="E23" s="10">
        <v>0</v>
      </c>
      <c r="F23" s="11">
        <v>1</v>
      </c>
      <c r="G23" s="9">
        <v>0.14299999999999999</v>
      </c>
      <c r="H23" s="9">
        <f t="shared" si="0"/>
        <v>3.2258064516129031E-2</v>
      </c>
      <c r="I23" s="9" t="s">
        <v>76</v>
      </c>
      <c r="J23" s="12" t="s">
        <v>63</v>
      </c>
    </row>
    <row r="24" spans="2:10" s="8" customFormat="1" ht="15.75" x14ac:dyDescent="0.2">
      <c r="B24" s="8" t="s">
        <v>43</v>
      </c>
      <c r="C24" s="10">
        <v>0</v>
      </c>
      <c r="D24" s="10">
        <v>0</v>
      </c>
      <c r="E24" s="10">
        <v>0</v>
      </c>
      <c r="F24" s="11">
        <v>1</v>
      </c>
      <c r="G24" s="9">
        <v>0.14299999999999999</v>
      </c>
      <c r="H24" s="9">
        <f t="shared" si="0"/>
        <v>3.2258064516129031E-2</v>
      </c>
      <c r="I24" s="9" t="s">
        <v>76</v>
      </c>
      <c r="J24" s="12" t="s">
        <v>63</v>
      </c>
    </row>
    <row r="25" spans="2:10" s="8" customFormat="1" ht="15.75" x14ac:dyDescent="0.2">
      <c r="B25" s="8" t="s">
        <v>44</v>
      </c>
      <c r="C25" s="10">
        <v>0</v>
      </c>
      <c r="D25" s="10">
        <v>0</v>
      </c>
      <c r="E25" s="10">
        <v>0</v>
      </c>
      <c r="F25" s="11">
        <v>0.92</v>
      </c>
      <c r="G25" s="9">
        <v>0.08</v>
      </c>
      <c r="H25" s="9">
        <f t="shared" si="0"/>
        <v>3.2258064516129031E-2</v>
      </c>
      <c r="I25" s="9" t="s">
        <v>76</v>
      </c>
      <c r="J25" s="12" t="s">
        <v>64</v>
      </c>
    </row>
    <row r="26" spans="2:10" s="8" customFormat="1" ht="15.75" x14ac:dyDescent="0.2">
      <c r="B26" s="8" t="s">
        <v>45</v>
      </c>
      <c r="C26" s="10">
        <v>0</v>
      </c>
      <c r="D26" s="10">
        <v>0.3</v>
      </c>
      <c r="E26" s="10">
        <v>0</v>
      </c>
      <c r="F26" s="11">
        <f>[1]消除倍率计算!$D$92</f>
        <v>0.86</v>
      </c>
      <c r="G26" s="9">
        <v>0</v>
      </c>
      <c r="H26" s="9">
        <f t="shared" si="0"/>
        <v>3.2258064516129031E-2</v>
      </c>
      <c r="I26" s="9" t="s">
        <v>76</v>
      </c>
      <c r="J26" s="12" t="s">
        <v>65</v>
      </c>
    </row>
    <row r="27" spans="2:10" s="8" customFormat="1" ht="15.75" x14ac:dyDescent="0.2">
      <c r="B27" s="8" t="s">
        <v>46</v>
      </c>
      <c r="C27" s="10">
        <v>-0.3</v>
      </c>
      <c r="D27" s="10">
        <v>0</v>
      </c>
      <c r="E27" s="10">
        <v>0.2</v>
      </c>
      <c r="F27" s="11">
        <v>1</v>
      </c>
      <c r="G27" s="9">
        <v>0</v>
      </c>
      <c r="H27" s="9">
        <f>1/(COUNTA(B:B)-3)</f>
        <v>3.2258064516129031E-2</v>
      </c>
      <c r="I27" s="9" t="s">
        <v>76</v>
      </c>
      <c r="J27" s="12" t="s">
        <v>66</v>
      </c>
    </row>
    <row r="28" spans="2:10" s="8" customFormat="1" ht="15.75" x14ac:dyDescent="0.2">
      <c r="B28" s="8" t="s">
        <v>47</v>
      </c>
      <c r="C28" s="10">
        <v>0</v>
      </c>
      <c r="D28" s="10">
        <v>0</v>
      </c>
      <c r="E28" s="10">
        <v>0</v>
      </c>
      <c r="F28" s="11">
        <v>1</v>
      </c>
      <c r="G28" s="9">
        <v>0</v>
      </c>
      <c r="H28" s="9">
        <f>1/(COUNTA(B:B)-3)</f>
        <v>3.2258064516129031E-2</v>
      </c>
      <c r="I28" s="9" t="s">
        <v>76</v>
      </c>
      <c r="J28" s="12" t="s">
        <v>67</v>
      </c>
    </row>
    <row r="29" spans="2:10" s="8" customFormat="1" ht="15.75" x14ac:dyDescent="0.2">
      <c r="B29" s="8" t="s">
        <v>48</v>
      </c>
      <c r="C29" s="10">
        <v>0.2</v>
      </c>
      <c r="D29" s="10">
        <v>0</v>
      </c>
      <c r="E29" s="10">
        <v>0</v>
      </c>
      <c r="F29" s="11">
        <v>1</v>
      </c>
      <c r="G29" s="9">
        <v>0</v>
      </c>
      <c r="H29" s="9">
        <f>1/(COUNTA(B:B)-3)</f>
        <v>3.2258064516129031E-2</v>
      </c>
      <c r="I29" s="9" t="s">
        <v>76</v>
      </c>
      <c r="J29" s="12" t="s">
        <v>68</v>
      </c>
    </row>
    <row r="30" spans="2:10" s="8" customFormat="1" ht="15.75" x14ac:dyDescent="0.2">
      <c r="B30" s="8" t="s">
        <v>49</v>
      </c>
      <c r="C30" s="10">
        <v>0</v>
      </c>
      <c r="D30" s="10">
        <v>0</v>
      </c>
      <c r="E30" s="10">
        <v>0.1</v>
      </c>
      <c r="F30" s="11">
        <v>1</v>
      </c>
      <c r="G30" s="9">
        <v>0</v>
      </c>
      <c r="H30" s="9">
        <f>1/(COUNTA(B:B)-3)</f>
        <v>3.2258064516129031E-2</v>
      </c>
      <c r="I30" s="9" t="s">
        <v>76</v>
      </c>
      <c r="J30" s="12" t="s">
        <v>69</v>
      </c>
    </row>
    <row r="31" spans="2:10" s="8" customFormat="1" ht="15.75" x14ac:dyDescent="0.2">
      <c r="B31" s="8" t="s">
        <v>50</v>
      </c>
      <c r="C31" s="10">
        <v>0</v>
      </c>
      <c r="D31" s="10">
        <v>0.1</v>
      </c>
      <c r="E31" s="10">
        <v>0</v>
      </c>
      <c r="F31" s="11">
        <v>1</v>
      </c>
      <c r="G31" s="9">
        <v>0</v>
      </c>
      <c r="H31" s="9">
        <f>1/(COUNTA(B:B)-3)</f>
        <v>3.2258064516129031E-2</v>
      </c>
      <c r="I31" s="9" t="s">
        <v>76</v>
      </c>
      <c r="J31" s="12" t="s">
        <v>70</v>
      </c>
    </row>
    <row r="32" spans="2:10" s="8" customFormat="1" ht="15.75" x14ac:dyDescent="0.2">
      <c r="B32" s="8" t="s">
        <v>51</v>
      </c>
      <c r="C32" s="10">
        <v>0</v>
      </c>
      <c r="D32" s="10">
        <v>0</v>
      </c>
      <c r="E32" s="10">
        <v>0</v>
      </c>
      <c r="F32" s="11">
        <v>1</v>
      </c>
      <c r="G32" s="9">
        <v>0</v>
      </c>
      <c r="H32" s="9">
        <f>1/(COUNTA(B:B)-3)</f>
        <v>3.2258064516129031E-2</v>
      </c>
      <c r="I32" s="9" t="s">
        <v>76</v>
      </c>
      <c r="J32" s="12" t="s">
        <v>74</v>
      </c>
    </row>
    <row r="33" spans="2:10" s="8" customFormat="1" ht="15.75" x14ac:dyDescent="0.2">
      <c r="B33" s="8" t="s">
        <v>52</v>
      </c>
      <c r="C33" s="10">
        <v>0</v>
      </c>
      <c r="D33" s="10">
        <v>0</v>
      </c>
      <c r="E33" s="10">
        <v>0</v>
      </c>
      <c r="F33" s="11">
        <v>1</v>
      </c>
      <c r="G33" s="9">
        <v>0</v>
      </c>
      <c r="H33" s="9">
        <f>1/(COUNTA(B:B)-3)</f>
        <v>3.2258064516129031E-2</v>
      </c>
      <c r="I33" s="9" t="s">
        <v>76</v>
      </c>
      <c r="J33" s="12" t="s">
        <v>71</v>
      </c>
    </row>
    <row r="34" spans="2:10" ht="15.75" x14ac:dyDescent="0.2">
      <c r="B34" s="8" t="s">
        <v>53</v>
      </c>
      <c r="C34" s="10">
        <v>0</v>
      </c>
      <c r="D34" s="10">
        <v>0.1</v>
      </c>
      <c r="E34" s="10">
        <v>0</v>
      </c>
      <c r="F34" s="11">
        <v>1</v>
      </c>
      <c r="G34" s="9">
        <v>0</v>
      </c>
      <c r="H34" s="9">
        <f>1/(COUNTA(B:B)-3)</f>
        <v>3.2258064516129031E-2</v>
      </c>
      <c r="I34" s="9" t="s">
        <v>76</v>
      </c>
      <c r="J34" s="12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肉鸽技能数据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2025-06-08T03:41:02Z</dcterms:modified>
</cp:coreProperties>
</file>