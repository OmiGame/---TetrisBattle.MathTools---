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LubanConfig\MiniTemplate\Datas\基础数据\"/>
    </mc:Choice>
  </mc:AlternateContent>
  <bookViews>
    <workbookView xWindow="0" yWindow="0" windowWidth="28800" windowHeight="12210"/>
  </bookViews>
  <sheets>
    <sheet name="怪物初始属性" sheetId="1" r:id="rId1"/>
  </sheets>
  <calcPr calcId="162913"/>
</workbook>
</file>

<file path=xl/calcChain.xml><?xml version="1.0" encoding="utf-8"?>
<calcChain xmlns="http://schemas.openxmlformats.org/spreadsheetml/2006/main">
  <c r="AJ11" i="1" l="1"/>
  <c r="AJ9" i="1"/>
  <c r="AJ7" i="1"/>
  <c r="AJ5" i="1"/>
  <c r="AJ4" i="1"/>
  <c r="AF5" i="1"/>
  <c r="O89" i="1" l="1"/>
  <c r="L89" i="1"/>
  <c r="Z89" i="1"/>
  <c r="AA89" i="1"/>
  <c r="AB89" i="1"/>
  <c r="AC89" i="1"/>
  <c r="AG89" i="1"/>
  <c r="AK89" i="1"/>
  <c r="AI20" i="1" l="1"/>
  <c r="AI19" i="1"/>
  <c r="AI18" i="1"/>
  <c r="AI17" i="1"/>
  <c r="AI16" i="1"/>
  <c r="AI15" i="1"/>
  <c r="AI14" i="1"/>
  <c r="AI13" i="1"/>
  <c r="AE14" i="1"/>
  <c r="AE15" i="1"/>
  <c r="AE16" i="1"/>
  <c r="AE17" i="1"/>
  <c r="AE18" i="1"/>
  <c r="AE19" i="1"/>
  <c r="AE20" i="1"/>
  <c r="AE13" i="1"/>
  <c r="L85" i="1" l="1"/>
  <c r="L84" i="1"/>
  <c r="O81" i="1"/>
  <c r="L80" i="1"/>
  <c r="L79" i="1"/>
  <c r="L78" i="1"/>
  <c r="O76" i="1"/>
  <c r="O70" i="1"/>
  <c r="L69" i="1"/>
  <c r="L64" i="1"/>
  <c r="O63" i="1"/>
  <c r="O62" i="1"/>
  <c r="L61" i="1"/>
  <c r="L60" i="1"/>
  <c r="L59" i="1"/>
  <c r="L58" i="1"/>
  <c r="O51" i="1"/>
  <c r="O50" i="1"/>
  <c r="L49" i="1"/>
  <c r="O45" i="1"/>
  <c r="O43" i="1"/>
  <c r="O42" i="1"/>
  <c r="O41" i="1"/>
  <c r="L40" i="1"/>
  <c r="L39" i="1"/>
  <c r="L38" i="1"/>
  <c r="L33" i="1"/>
  <c r="L32" i="1"/>
  <c r="L31" i="1"/>
  <c r="L25" i="1"/>
  <c r="L24" i="1"/>
  <c r="O21" i="1"/>
  <c r="L18" i="1"/>
  <c r="O17" i="1"/>
  <c r="O16" i="1"/>
  <c r="O15" i="1"/>
  <c r="O13" i="1"/>
  <c r="O84" i="1"/>
  <c r="O83" i="1"/>
  <c r="O82" i="1"/>
  <c r="O44" i="1"/>
  <c r="L29" i="1"/>
  <c r="O24" i="1"/>
  <c r="O23" i="1"/>
  <c r="O22" i="1"/>
  <c r="L20" i="1"/>
  <c r="L19" i="1"/>
  <c r="O14" i="1"/>
  <c r="AK10" i="1"/>
  <c r="AK11" i="1"/>
  <c r="AK12" i="1"/>
  <c r="AK13" i="1"/>
  <c r="AK14" i="1"/>
  <c r="O12" i="1"/>
  <c r="O25" i="1"/>
  <c r="O26" i="1"/>
  <c r="O27" i="1"/>
  <c r="O28" i="1"/>
  <c r="O30" i="1"/>
  <c r="O31" i="1"/>
  <c r="O32" i="1"/>
  <c r="O34" i="1"/>
  <c r="O35" i="1"/>
  <c r="O36" i="1"/>
  <c r="O37" i="1"/>
  <c r="O46" i="1"/>
  <c r="O47" i="1"/>
  <c r="O48" i="1"/>
  <c r="O52" i="1"/>
  <c r="O53" i="1"/>
  <c r="O54" i="1"/>
  <c r="O55" i="1"/>
  <c r="O56" i="1"/>
  <c r="O57" i="1"/>
  <c r="O61" i="1"/>
  <c r="O65" i="1"/>
  <c r="O66" i="1"/>
  <c r="O67" i="1"/>
  <c r="O68" i="1"/>
  <c r="O71" i="1"/>
  <c r="O72" i="1"/>
  <c r="O73" i="1"/>
  <c r="O74" i="1"/>
  <c r="O75" i="1"/>
  <c r="O77" i="1"/>
  <c r="O85" i="1"/>
  <c r="O86" i="1"/>
  <c r="O87" i="1"/>
  <c r="O88" i="1"/>
  <c r="L12" i="1"/>
  <c r="L13" i="1"/>
  <c r="L14" i="1"/>
  <c r="L15" i="1"/>
  <c r="L17" i="1"/>
  <c r="L26" i="1"/>
  <c r="L27" i="1"/>
  <c r="L28" i="1"/>
  <c r="L30" i="1"/>
  <c r="L34" i="1"/>
  <c r="L35" i="1"/>
  <c r="L36" i="1"/>
  <c r="L37" i="1"/>
  <c r="L41" i="1"/>
  <c r="L44" i="1"/>
  <c r="L45" i="1"/>
  <c r="L46" i="1"/>
  <c r="L47" i="1"/>
  <c r="L48" i="1"/>
  <c r="L51" i="1"/>
  <c r="L52" i="1"/>
  <c r="L53" i="1"/>
  <c r="L54" i="1"/>
  <c r="L55" i="1"/>
  <c r="L56" i="1"/>
  <c r="L57" i="1"/>
  <c r="L65" i="1"/>
  <c r="L66" i="1"/>
  <c r="L67" i="1"/>
  <c r="L68" i="1"/>
  <c r="L70" i="1"/>
  <c r="L71" i="1"/>
  <c r="L72" i="1"/>
  <c r="L73" i="1"/>
  <c r="L74" i="1"/>
  <c r="L75" i="1"/>
  <c r="L76" i="1"/>
  <c r="L77" i="1"/>
  <c r="L86" i="1"/>
  <c r="L87" i="1"/>
  <c r="L88" i="1"/>
  <c r="AK5" i="1"/>
  <c r="AK6" i="1"/>
  <c r="AK7" i="1"/>
  <c r="AK8" i="1"/>
  <c r="AK9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4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4" i="1"/>
  <c r="L81" i="1" l="1"/>
  <c r="L50" i="1"/>
  <c r="L21" i="1"/>
  <c r="O64" i="1"/>
  <c r="L16" i="1"/>
  <c r="O33" i="1"/>
  <c r="L83" i="1"/>
  <c r="O20" i="1"/>
  <c r="L63" i="1"/>
  <c r="L43" i="1"/>
  <c r="L23" i="1"/>
  <c r="O80" i="1"/>
  <c r="O60" i="1"/>
  <c r="O40" i="1"/>
  <c r="L82" i="1"/>
  <c r="L62" i="1"/>
  <c r="L42" i="1"/>
  <c r="L22" i="1"/>
  <c r="O79" i="1"/>
  <c r="O59" i="1"/>
  <c r="O39" i="1"/>
  <c r="O19" i="1"/>
  <c r="O78" i="1"/>
  <c r="O58" i="1"/>
  <c r="O38" i="1"/>
  <c r="O18" i="1"/>
  <c r="O69" i="1"/>
  <c r="O49" i="1"/>
  <c r="O29" i="1"/>
  <c r="O11" i="1"/>
  <c r="O10" i="1"/>
  <c r="O9" i="1"/>
  <c r="L10" i="1"/>
  <c r="L11" i="1"/>
  <c r="L4" i="1"/>
  <c r="L5" i="1"/>
  <c r="L6" i="1"/>
  <c r="L7" i="1"/>
  <c r="L8" i="1"/>
  <c r="L9" i="1"/>
  <c r="O8" i="1" l="1"/>
  <c r="O5" i="1" l="1"/>
  <c r="O6" i="1"/>
  <c r="O7" i="1"/>
  <c r="O4" i="1"/>
</calcChain>
</file>

<file path=xl/sharedStrings.xml><?xml version="1.0" encoding="utf-8"?>
<sst xmlns="http://schemas.openxmlformats.org/spreadsheetml/2006/main" count="432" uniqueCount="147">
  <si>
    <t>##var</t>
  </si>
  <si>
    <t>等级</t>
  </si>
  <si>
    <t>血量</t>
  </si>
  <si>
    <t>攻击力</t>
  </si>
  <si>
    <t>攻速</t>
  </si>
  <si>
    <t>攻击范围</t>
  </si>
  <si>
    <t>移动速度</t>
  </si>
  <si>
    <t>DPS</t>
  </si>
  <si>
    <t>血量特效倍率</t>
  </si>
  <si>
    <t>DPS特效倍率</t>
  </si>
  <si>
    <t>战力</t>
  </si>
  <si>
    <t>品质</t>
  </si>
  <si>
    <t>职业</t>
  </si>
  <si>
    <t>名称</t>
  </si>
  <si>
    <t>血量成长倍率</t>
  </si>
  <si>
    <t>攻击力成长倍率</t>
  </si>
  <si>
    <t>怪物编号</t>
  </si>
  <si>
    <t>适配地图</t>
  </si>
  <si>
    <t>对塔伤害</t>
  </si>
  <si>
    <t>##type</t>
  </si>
  <si>
    <t>string</t>
  </si>
  <si>
    <t>int</t>
  </si>
  <si>
    <t>float</t>
  </si>
  <si>
    <t>##</t>
  </si>
  <si>
    <t>坦克</t>
  </si>
  <si>
    <t>普通坦克</t>
  </si>
  <si>
    <t>近战</t>
  </si>
  <si>
    <t>远程</t>
  </si>
  <si>
    <t>移动速度</t>
    <phoneticPr fontId="2" type="noConversion"/>
  </si>
  <si>
    <t>血量战力价值</t>
    <phoneticPr fontId="2" type="noConversion"/>
  </si>
  <si>
    <t>DPS战力价值</t>
    <phoneticPr fontId="2" type="noConversion"/>
  </si>
  <si>
    <t>精英</t>
    <phoneticPr fontId="2" type="noConversion"/>
  </si>
  <si>
    <t>普通</t>
    <phoneticPr fontId="2" type="noConversion"/>
  </si>
  <si>
    <t>刺客</t>
  </si>
  <si>
    <t>黄电兔</t>
    <phoneticPr fontId="2" type="noConversion"/>
  </si>
  <si>
    <t>黄树怪</t>
    <phoneticPr fontId="2" type="noConversion"/>
  </si>
  <si>
    <t>粉蝙蝠</t>
    <phoneticPr fontId="2" type="noConversion"/>
  </si>
  <si>
    <t>岩石龟</t>
    <phoneticPr fontId="2" type="noConversion"/>
  </si>
  <si>
    <t>蜗牛</t>
    <phoneticPr fontId="2" type="noConversion"/>
  </si>
  <si>
    <t>紫蟹</t>
    <phoneticPr fontId="2" type="noConversion"/>
  </si>
  <si>
    <t>紫蘑菇</t>
    <phoneticPr fontId="2" type="noConversion"/>
  </si>
  <si>
    <t>黑蜗牛</t>
    <phoneticPr fontId="2" type="noConversion"/>
  </si>
  <si>
    <t>精英黄鹿角</t>
    <phoneticPr fontId="2" type="noConversion"/>
  </si>
  <si>
    <t>黄鹿角</t>
    <phoneticPr fontId="2" type="noConversion"/>
  </si>
  <si>
    <t>精英黄电兔</t>
    <phoneticPr fontId="2" type="noConversion"/>
  </si>
  <si>
    <t>精英黄树怪</t>
    <phoneticPr fontId="2" type="noConversion"/>
  </si>
  <si>
    <t>精英粉蝙蝠</t>
    <phoneticPr fontId="2" type="noConversion"/>
  </si>
  <si>
    <t>精英岩石龟</t>
    <phoneticPr fontId="2" type="noConversion"/>
  </si>
  <si>
    <t>精英蜗牛</t>
    <phoneticPr fontId="2" type="noConversion"/>
  </si>
  <si>
    <t>绿皮怪1</t>
    <phoneticPr fontId="2" type="noConversion"/>
  </si>
  <si>
    <t>精英绿皮怪1</t>
    <phoneticPr fontId="2" type="noConversion"/>
  </si>
  <si>
    <t>绿皮怪2</t>
    <phoneticPr fontId="2" type="noConversion"/>
  </si>
  <si>
    <t>精英紫蟹</t>
    <phoneticPr fontId="2" type="noConversion"/>
  </si>
  <si>
    <t>精英紫蘑菇</t>
    <phoneticPr fontId="2" type="noConversion"/>
  </si>
  <si>
    <t>精英绿皮怪2</t>
    <phoneticPr fontId="2" type="noConversion"/>
  </si>
  <si>
    <t>精英黑蜗牛</t>
    <phoneticPr fontId="2" type="noConversion"/>
  </si>
  <si>
    <t>粉蝾螈</t>
    <phoneticPr fontId="2" type="noConversion"/>
  </si>
  <si>
    <t>黄蝾螈</t>
    <phoneticPr fontId="2" type="noConversion"/>
  </si>
  <si>
    <t>黄石怪</t>
    <phoneticPr fontId="2" type="noConversion"/>
  </si>
  <si>
    <t>紫蝙蝠</t>
    <phoneticPr fontId="2" type="noConversion"/>
  </si>
  <si>
    <t>黄战士</t>
    <phoneticPr fontId="2" type="noConversion"/>
  </si>
  <si>
    <t>黄犀牛</t>
    <phoneticPr fontId="2" type="noConversion"/>
  </si>
  <si>
    <t>精英粉蝾螈</t>
    <phoneticPr fontId="2" type="noConversion"/>
  </si>
  <si>
    <t>精英黄蝾螈</t>
    <phoneticPr fontId="2" type="noConversion"/>
  </si>
  <si>
    <t>精英黄石怪</t>
    <phoneticPr fontId="2" type="noConversion"/>
  </si>
  <si>
    <t>精英紫蝙蝠</t>
    <phoneticPr fontId="2" type="noConversion"/>
  </si>
  <si>
    <t>精英黄战士</t>
    <phoneticPr fontId="2" type="noConversion"/>
  </si>
  <si>
    <t>精英黄犀牛</t>
    <phoneticPr fontId="2" type="noConversion"/>
  </si>
  <si>
    <t>绿蝾螈</t>
    <phoneticPr fontId="2" type="noConversion"/>
  </si>
  <si>
    <t>绿兔子</t>
    <phoneticPr fontId="2" type="noConversion"/>
  </si>
  <si>
    <t>绿蝙蝠</t>
    <phoneticPr fontId="2" type="noConversion"/>
  </si>
  <si>
    <t>绿花</t>
    <phoneticPr fontId="2" type="noConversion"/>
  </si>
  <si>
    <t>绿螃蟹</t>
    <phoneticPr fontId="2" type="noConversion"/>
  </si>
  <si>
    <t>绿蘑菇</t>
    <phoneticPr fontId="2" type="noConversion"/>
  </si>
  <si>
    <t>精英绿蝾螈</t>
    <phoneticPr fontId="2" type="noConversion"/>
  </si>
  <si>
    <t>精英绿兔子</t>
    <phoneticPr fontId="2" type="noConversion"/>
  </si>
  <si>
    <t>精英绿蝙蝠</t>
    <phoneticPr fontId="2" type="noConversion"/>
  </si>
  <si>
    <t>精英绿花</t>
    <phoneticPr fontId="2" type="noConversion"/>
  </si>
  <si>
    <t>精英绿螃蟹</t>
    <phoneticPr fontId="2" type="noConversion"/>
  </si>
  <si>
    <t>精英绿蘑菇</t>
    <phoneticPr fontId="2" type="noConversion"/>
  </si>
  <si>
    <t>火泥人</t>
    <phoneticPr fontId="2" type="noConversion"/>
  </si>
  <si>
    <t>火兔子</t>
    <phoneticPr fontId="2" type="noConversion"/>
  </si>
  <si>
    <t>火螃蟹</t>
    <phoneticPr fontId="2" type="noConversion"/>
  </si>
  <si>
    <t>火龟</t>
    <phoneticPr fontId="2" type="noConversion"/>
  </si>
  <si>
    <t>黑骑士</t>
    <phoneticPr fontId="2" type="noConversion"/>
  </si>
  <si>
    <t>扳手机</t>
    <phoneticPr fontId="2" type="noConversion"/>
  </si>
  <si>
    <t>战士机</t>
    <phoneticPr fontId="2" type="noConversion"/>
  </si>
  <si>
    <t>精英火泥人</t>
    <phoneticPr fontId="2" type="noConversion"/>
  </si>
  <si>
    <t>精英火兔子</t>
    <phoneticPr fontId="2" type="noConversion"/>
  </si>
  <si>
    <t>精英火螃蟹</t>
    <phoneticPr fontId="2" type="noConversion"/>
  </si>
  <si>
    <t>精英火龟</t>
    <phoneticPr fontId="2" type="noConversion"/>
  </si>
  <si>
    <t>精英黑骑士</t>
    <phoneticPr fontId="2" type="noConversion"/>
  </si>
  <si>
    <t>精英扳手机</t>
    <phoneticPr fontId="2" type="noConversion"/>
  </si>
  <si>
    <t>蓝雪人</t>
    <phoneticPr fontId="2" type="noConversion"/>
  </si>
  <si>
    <t>蓝胖子</t>
    <phoneticPr fontId="2" type="noConversion"/>
  </si>
  <si>
    <t>蓝兔子</t>
    <phoneticPr fontId="2" type="noConversion"/>
  </si>
  <si>
    <t>绿龟</t>
    <phoneticPr fontId="2" type="noConversion"/>
  </si>
  <si>
    <t>红蘑菇</t>
    <phoneticPr fontId="2" type="noConversion"/>
  </si>
  <si>
    <t>双头兽人</t>
    <phoneticPr fontId="2" type="noConversion"/>
  </si>
  <si>
    <t>精英蓝雪人</t>
    <phoneticPr fontId="2" type="noConversion"/>
  </si>
  <si>
    <t>精英蓝胖子</t>
    <phoneticPr fontId="2" type="noConversion"/>
  </si>
  <si>
    <t>精英蓝兔子</t>
    <phoneticPr fontId="2" type="noConversion"/>
  </si>
  <si>
    <t>精英绿龟</t>
    <phoneticPr fontId="2" type="noConversion"/>
  </si>
  <si>
    <t>精英红蘑菇</t>
    <phoneticPr fontId="2" type="noConversion"/>
  </si>
  <si>
    <t>精英双头兽人</t>
    <phoneticPr fontId="2" type="noConversion"/>
  </si>
  <si>
    <t>角蜗牛</t>
    <phoneticPr fontId="2" type="noConversion"/>
  </si>
  <si>
    <t>精英角蜗牛</t>
    <phoneticPr fontId="2" type="noConversion"/>
  </si>
  <si>
    <t>冬蝾螈</t>
    <phoneticPr fontId="2" type="noConversion"/>
  </si>
  <si>
    <t>冬雪人</t>
    <phoneticPr fontId="2" type="noConversion"/>
  </si>
  <si>
    <t>冬石怪</t>
    <phoneticPr fontId="2" type="noConversion"/>
  </si>
  <si>
    <t>冬龟</t>
    <phoneticPr fontId="2" type="noConversion"/>
  </si>
  <si>
    <t>冬犀牛</t>
    <phoneticPr fontId="2" type="noConversion"/>
  </si>
  <si>
    <t>冬战士</t>
    <phoneticPr fontId="2" type="noConversion"/>
  </si>
  <si>
    <t>精英冬蝾螈</t>
    <phoneticPr fontId="2" type="noConversion"/>
  </si>
  <si>
    <t>精英冬雪人</t>
    <phoneticPr fontId="2" type="noConversion"/>
  </si>
  <si>
    <t>精英冬石怪</t>
    <phoneticPr fontId="2" type="noConversion"/>
  </si>
  <si>
    <t>精英冬龟</t>
    <phoneticPr fontId="2" type="noConversion"/>
  </si>
  <si>
    <t>精英冬战士</t>
    <phoneticPr fontId="2" type="noConversion"/>
  </si>
  <si>
    <t>精英冬犀牛</t>
    <phoneticPr fontId="2" type="noConversion"/>
  </si>
  <si>
    <t>职业</t>
    <phoneticPr fontId="2" type="noConversion"/>
  </si>
  <si>
    <t>攻击范围</t>
    <phoneticPr fontId="2" type="noConversion"/>
  </si>
  <si>
    <t>Autumn,Forest,Desert</t>
  </si>
  <si>
    <t>Darkland,Lava</t>
  </si>
  <si>
    <t>对塔伤害</t>
    <phoneticPr fontId="2" type="noConversion"/>
  </si>
  <si>
    <t>记得更新代码中的</t>
    <phoneticPr fontId="2" type="noConversion"/>
  </si>
  <si>
    <t>怪物数据中的地图枚举</t>
    <phoneticPr fontId="2" type="noConversion"/>
  </si>
  <si>
    <t>移动速度</t>
    <phoneticPr fontId="2" type="noConversion"/>
  </si>
  <si>
    <t>根据excel公式生成数据</t>
    <phoneticPr fontId="2" type="noConversion"/>
  </si>
  <si>
    <t>攻速</t>
    <phoneticPr fontId="2" type="noConversion"/>
  </si>
  <si>
    <t>血量映射</t>
    <phoneticPr fontId="2" type="noConversion"/>
  </si>
  <si>
    <t>精英坦克</t>
  </si>
  <si>
    <t>普通近战</t>
  </si>
  <si>
    <t>精英近战</t>
  </si>
  <si>
    <t>普通远程</t>
  </si>
  <si>
    <t>精英远程</t>
  </si>
  <si>
    <t>普通刺客</t>
  </si>
  <si>
    <t>精英刺客</t>
  </si>
  <si>
    <t>血量</t>
    <phoneticPr fontId="2" type="noConversion"/>
  </si>
  <si>
    <t>攻击力映射</t>
    <phoneticPr fontId="2" type="noConversion"/>
  </si>
  <si>
    <t>攻击力</t>
    <phoneticPr fontId="2" type="noConversion"/>
  </si>
  <si>
    <t>刺客攻速高，所以攻击力相应低一些</t>
    <phoneticPr fontId="2" type="noConversion"/>
  </si>
  <si>
    <t>Skyland,Winter</t>
    <phoneticPr fontId="2" type="noConversion"/>
  </si>
  <si>
    <t>精英</t>
    <phoneticPr fontId="2" type="noConversion"/>
  </si>
  <si>
    <t>近战</t>
    <phoneticPr fontId="2" type="noConversion"/>
  </si>
  <si>
    <t>精英机械怪</t>
    <phoneticPr fontId="2" type="noConversion"/>
  </si>
  <si>
    <t>Autumn,Forest,Desert</t>
    <phoneticPr fontId="2" type="noConversion"/>
  </si>
  <si>
    <t>Autumn,Forest,Desert,Lava,Darkland,Skyland,Winter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</si>
</sst>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24242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3" fillId="2" borderId="2">
      <alignment horizontal="center" vertical="center"/>
    </xf>
    <xf numFmtId="0" fontId="4" fillId="0" borderId="2">
      <alignment horizontal="center" vertical="center"/>
    </xf>
  </cellStyleXfs>
  <cellXfs count="11">
    <xf numFmtId="0" fontId="0" fillId="0" borderId="0" xfId="0" applyBorder="1"/>
    <xf numFmtId="0" fontId="3" fillId="2" borderId="2" xfId="1" applyAlignment="1">
      <alignment horizontal="center" vertical="center"/>
    </xf>
    <xf numFmtId="0" fontId="4" fillId="0" borderId="2" xfId="2" applyAlignment="1">
      <alignment horizontal="center" vertical="center"/>
    </xf>
    <xf numFmtId="0" fontId="1" fillId="2" borderId="2" xfId="1" applyFont="1" applyAlignment="1">
      <alignment horizontal="center" vertical="center"/>
    </xf>
    <xf numFmtId="0" fontId="4" fillId="0" borderId="2" xfId="2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Alignment="1">
      <alignment horizontal="center"/>
    </xf>
    <xf numFmtId="0" fontId="0" fillId="0" borderId="0" xfId="0" applyBorder="1" applyAlignment="1">
      <alignment horizontal="right"/>
    </xf>
    <xf numFmtId="0" fontId="3" fillId="3" borderId="2" xfId="1" applyFill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4"/>
  <sheetViews>
    <sheetView tabSelected="1" topLeftCell="W1" workbookViewId="0">
      <selection activeCell="AH2" sqref="AH2"/>
    </sheetView>
  </sheetViews>
  <sheetFormatPr defaultRowHeight="13.5" x14ac:dyDescent="0.15"/>
  <cols>
    <col min="2" max="2" width="13.25" style="5" customWidth="1"/>
    <col min="3" max="3" width="8.75" customWidth="1"/>
    <col min="4" max="4" width="8.75" style="5" customWidth="1"/>
    <col min="5" max="5" width="17.875" customWidth="1"/>
    <col min="6" max="6" width="8.75" customWidth="1"/>
    <col min="7" max="7" width="8.75" style="5" customWidth="1"/>
    <col min="8" max="8" width="11" style="5" customWidth="1"/>
    <col min="9" max="9" width="8.75" style="5" customWidth="1"/>
    <col min="10" max="11" width="13.25" style="5" customWidth="1"/>
    <col min="12" max="12" width="11" customWidth="1"/>
    <col min="13" max="13" width="17.625" customWidth="1"/>
    <col min="14" max="14" width="19.75" customWidth="1"/>
    <col min="15" max="15" width="8.75" customWidth="1"/>
    <col min="16" max="16" width="17.625" customWidth="1"/>
    <col min="17" max="17" width="19.75" customWidth="1"/>
    <col min="18" max="18" width="27.375" style="5" customWidth="1"/>
    <col min="19" max="19" width="25.625" style="5" customWidth="1"/>
    <col min="22" max="22" width="18" customWidth="1"/>
  </cols>
  <sheetData>
    <row r="1" spans="1:39" x14ac:dyDescent="0.15">
      <c r="A1" s="1" t="s">
        <v>0</v>
      </c>
      <c r="B1" s="1" t="s">
        <v>16</v>
      </c>
      <c r="C1" s="1" t="s">
        <v>11</v>
      </c>
      <c r="D1" s="1" t="s">
        <v>12</v>
      </c>
      <c r="E1" s="1" t="s">
        <v>13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3" t="s">
        <v>28</v>
      </c>
      <c r="L1" s="8" t="s">
        <v>7</v>
      </c>
      <c r="M1" s="1" t="s">
        <v>8</v>
      </c>
      <c r="N1" s="1" t="s">
        <v>9</v>
      </c>
      <c r="O1" s="8" t="s">
        <v>10</v>
      </c>
      <c r="P1" s="1" t="s">
        <v>14</v>
      </c>
      <c r="Q1" s="1" t="s">
        <v>15</v>
      </c>
      <c r="R1" s="1" t="s">
        <v>17</v>
      </c>
      <c r="S1" s="1" t="s">
        <v>18</v>
      </c>
    </row>
    <row r="2" spans="1:39" x14ac:dyDescent="0.15">
      <c r="A2" s="1" t="s">
        <v>19</v>
      </c>
      <c r="B2" s="1" t="s">
        <v>21</v>
      </c>
      <c r="C2" s="1" t="s">
        <v>20</v>
      </c>
      <c r="D2" s="1" t="s">
        <v>20</v>
      </c>
      <c r="E2" s="1" t="s">
        <v>20</v>
      </c>
      <c r="F2" s="1" t="s">
        <v>21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8" t="s">
        <v>22</v>
      </c>
      <c r="M2" s="1" t="s">
        <v>22</v>
      </c>
      <c r="N2" s="1" t="s">
        <v>22</v>
      </c>
      <c r="O2" s="8" t="s">
        <v>22</v>
      </c>
      <c r="P2" s="1" t="s">
        <v>22</v>
      </c>
      <c r="Q2" s="1" t="s">
        <v>22</v>
      </c>
      <c r="R2" s="1" t="s">
        <v>20</v>
      </c>
      <c r="S2" s="1" t="s">
        <v>21</v>
      </c>
      <c r="Y2" t="s">
        <v>127</v>
      </c>
    </row>
    <row r="3" spans="1:39" x14ac:dyDescent="0.15">
      <c r="A3" s="1" t="s">
        <v>23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8" t="s">
        <v>7</v>
      </c>
      <c r="M3" s="1" t="s">
        <v>8</v>
      </c>
      <c r="N3" s="1" t="s">
        <v>9</v>
      </c>
      <c r="O3" s="8" t="s">
        <v>10</v>
      </c>
      <c r="P3" s="1" t="s">
        <v>14</v>
      </c>
      <c r="Q3" s="1" t="s">
        <v>15</v>
      </c>
      <c r="R3" s="1" t="s">
        <v>17</v>
      </c>
      <c r="S3" s="1" t="s">
        <v>18</v>
      </c>
      <c r="Y3" t="s">
        <v>119</v>
      </c>
      <c r="Z3" t="s">
        <v>120</v>
      </c>
      <c r="AA3" t="s">
        <v>123</v>
      </c>
      <c r="AB3" t="s">
        <v>126</v>
      </c>
      <c r="AC3" s="7" t="s">
        <v>128</v>
      </c>
      <c r="AE3" t="s">
        <v>129</v>
      </c>
      <c r="AG3" t="s">
        <v>137</v>
      </c>
      <c r="AH3">
        <v>1.3</v>
      </c>
      <c r="AI3" t="s">
        <v>138</v>
      </c>
      <c r="AK3" t="s">
        <v>139</v>
      </c>
    </row>
    <row r="4" spans="1:39" x14ac:dyDescent="0.15">
      <c r="B4" s="2">
        <v>2001</v>
      </c>
      <c r="C4" s="6" t="s">
        <v>32</v>
      </c>
      <c r="D4" s="2" t="s">
        <v>26</v>
      </c>
      <c r="E4" s="2" t="s">
        <v>43</v>
      </c>
      <c r="F4" s="2">
        <v>1</v>
      </c>
      <c r="G4" s="2">
        <v>110</v>
      </c>
      <c r="H4" s="2">
        <v>32</v>
      </c>
      <c r="I4" s="2">
        <v>1</v>
      </c>
      <c r="J4" s="2">
        <v>1</v>
      </c>
      <c r="K4" s="2">
        <v>1.2</v>
      </c>
      <c r="L4">
        <f t="shared" ref="L4:L67" si="0">H4*I4*((J4-1)*0.15+1)</f>
        <v>32</v>
      </c>
      <c r="M4" s="2">
        <v>0</v>
      </c>
      <c r="N4" s="2">
        <v>0</v>
      </c>
      <c r="O4" s="2">
        <f>G4*$W$4*(1+M4)+H4*I4*(1+(J4-1)*0.15)*$W$5*(1+N4)</f>
        <v>238</v>
      </c>
      <c r="P4" s="2">
        <v>1.1950000000000001</v>
      </c>
      <c r="Q4" s="2">
        <v>1.1950000000000001</v>
      </c>
      <c r="R4" s="2" t="s">
        <v>121</v>
      </c>
      <c r="S4" s="2">
        <v>1</v>
      </c>
      <c r="V4" t="s">
        <v>29</v>
      </c>
      <c r="W4">
        <v>1</v>
      </c>
      <c r="X4" s="6">
        <v>2</v>
      </c>
      <c r="Y4" t="str">
        <f>CHOOSE(X4, "坦克", "近战", "远程", "刺客")</f>
        <v>近战</v>
      </c>
      <c r="Z4">
        <f>IF(D4="坦克", 1, IF(D4="近战", 1, IF(D4="远程", 4, IF(D4="刺客", 1, "未知"))))</f>
        <v>1</v>
      </c>
      <c r="AA4">
        <f>IF(D4="坦克", 2, IF(D4="近战", 1, IF(D4="远程", 1, IF(D4="刺客", 1, "未知"))))</f>
        <v>1</v>
      </c>
      <c r="AB4">
        <f>IF(D4="坦克", 1.2, IF(D4="近战", 1.2, IF(D4="远程", 1.2, IF(D4="刺客", 2.5, "未知"))))</f>
        <v>1.2</v>
      </c>
      <c r="AC4">
        <f>IF(D4="坦克", 1, IF(D4="近战", 1, IF(D4="远程", 1, IF(D4="刺客", 2, "未知"))))</f>
        <v>1</v>
      </c>
      <c r="AE4" t="s">
        <v>25</v>
      </c>
      <c r="AF4">
        <v>150</v>
      </c>
      <c r="AG4">
        <f>VLOOKUP(C4&amp;D4, $AE$4:$AF$11, 2, FALSE)</f>
        <v>110</v>
      </c>
      <c r="AI4" t="s">
        <v>25</v>
      </c>
      <c r="AJ4" s="2">
        <f>AF4/6</f>
        <v>25</v>
      </c>
      <c r="AK4">
        <f>VLOOKUP(C4&amp;D4, $AI$4:$AJ$11, 2, FALSE)</f>
        <v>32</v>
      </c>
    </row>
    <row r="5" spans="1:39" x14ac:dyDescent="0.15">
      <c r="B5" s="2">
        <v>2002</v>
      </c>
      <c r="C5" s="6" t="s">
        <v>32</v>
      </c>
      <c r="D5" s="2" t="s">
        <v>24</v>
      </c>
      <c r="E5" s="2" t="s">
        <v>34</v>
      </c>
      <c r="F5" s="2">
        <v>1</v>
      </c>
      <c r="G5" s="2">
        <v>150</v>
      </c>
      <c r="H5" s="2">
        <v>25</v>
      </c>
      <c r="I5" s="2">
        <v>1</v>
      </c>
      <c r="J5" s="2">
        <v>1</v>
      </c>
      <c r="K5" s="2">
        <v>1.2</v>
      </c>
      <c r="L5">
        <f t="shared" si="0"/>
        <v>25</v>
      </c>
      <c r="M5" s="2">
        <v>0</v>
      </c>
      <c r="N5" s="2">
        <v>0</v>
      </c>
      <c r="O5" s="2">
        <f t="shared" ref="O5:O7" si="1">G5*$W$4*(1+M5)+H5*I5*(1+(J5-1)*0.15)*$W$5*(1+N5)</f>
        <v>250</v>
      </c>
      <c r="P5" s="2">
        <v>1.1950000000000001</v>
      </c>
      <c r="Q5" s="2">
        <v>1.1950000000000001</v>
      </c>
      <c r="R5" s="2" t="s">
        <v>121</v>
      </c>
      <c r="S5" s="2">
        <v>2</v>
      </c>
      <c r="V5" t="s">
        <v>30</v>
      </c>
      <c r="W5">
        <v>4</v>
      </c>
      <c r="X5" s="6">
        <v>1</v>
      </c>
      <c r="Y5" t="str">
        <f t="shared" ref="Y5:Y68" si="2">CHOOSE(X5, "坦克", "近战", "远程", "刺客")</f>
        <v>坦克</v>
      </c>
      <c r="Z5">
        <f t="shared" ref="Z5:Z68" si="3">IF(D5="坦克", 1, IF(D5="近战", 1, IF(D5="远程", 4, IF(D5="刺客", 1, "未知"))))</f>
        <v>1</v>
      </c>
      <c r="AA5">
        <f t="shared" ref="AA5:AA68" si="4">IF(D5="坦克", 2, IF(D5="近战", 1, IF(D5="远程", 1, IF(D5="刺客", 1, "未知"))))</f>
        <v>2</v>
      </c>
      <c r="AB5">
        <f t="shared" ref="AB5:AB68" si="5">IF(D5="坦克", 1.2, IF(D5="近战", 1.2, IF(D5="远程", 1.2, IF(D5="刺客", 2.5, "未知"))))</f>
        <v>1.2</v>
      </c>
      <c r="AC5">
        <f t="shared" ref="AC5:AC68" si="6">IF(D5="坦克", 1, IF(D5="近战", 1, IF(D5="远程", 1, IF(D5="刺客", 2, "未知"))))</f>
        <v>1</v>
      </c>
      <c r="AE5" t="s">
        <v>130</v>
      </c>
      <c r="AF5">
        <f>150*1.3</f>
        <v>195</v>
      </c>
      <c r="AG5">
        <f t="shared" ref="AG5:AG68" si="7">VLOOKUP(C5&amp;D5, $AE$4:$AF$11, 2, FALSE)</f>
        <v>150</v>
      </c>
      <c r="AI5" t="s">
        <v>130</v>
      </c>
      <c r="AJ5" s="2">
        <f>25*1.3</f>
        <v>32.5</v>
      </c>
      <c r="AK5">
        <f t="shared" ref="AK5:AK68" si="8">VLOOKUP(C5&amp;D5, $AI$4:$AJ$11, 2, FALSE)</f>
        <v>25</v>
      </c>
    </row>
    <row r="6" spans="1:39" x14ac:dyDescent="0.15">
      <c r="B6" s="2">
        <v>2003</v>
      </c>
      <c r="C6" s="6" t="s">
        <v>32</v>
      </c>
      <c r="D6" s="2" t="s">
        <v>26</v>
      </c>
      <c r="E6" s="2" t="s">
        <v>35</v>
      </c>
      <c r="F6" s="2">
        <v>1</v>
      </c>
      <c r="G6" s="2">
        <v>110</v>
      </c>
      <c r="H6" s="2">
        <v>32</v>
      </c>
      <c r="I6" s="2">
        <v>1</v>
      </c>
      <c r="J6" s="2">
        <v>1</v>
      </c>
      <c r="K6" s="2">
        <v>1.2</v>
      </c>
      <c r="L6">
        <f t="shared" si="0"/>
        <v>32</v>
      </c>
      <c r="M6" s="2">
        <v>0</v>
      </c>
      <c r="N6" s="2">
        <v>0</v>
      </c>
      <c r="O6" s="2">
        <f t="shared" si="1"/>
        <v>238</v>
      </c>
      <c r="P6" s="2">
        <v>1.1950000000000001</v>
      </c>
      <c r="Q6" s="2">
        <v>1.1950000000000001</v>
      </c>
      <c r="R6" s="2" t="s">
        <v>121</v>
      </c>
      <c r="S6" s="2">
        <v>1</v>
      </c>
      <c r="X6" s="6">
        <v>2</v>
      </c>
      <c r="Y6" t="str">
        <f t="shared" si="2"/>
        <v>近战</v>
      </c>
      <c r="Z6">
        <f t="shared" si="3"/>
        <v>1</v>
      </c>
      <c r="AA6">
        <f t="shared" si="4"/>
        <v>1</v>
      </c>
      <c r="AB6">
        <f t="shared" si="5"/>
        <v>1.2</v>
      </c>
      <c r="AC6">
        <f t="shared" si="6"/>
        <v>1</v>
      </c>
      <c r="AE6" t="s">
        <v>131</v>
      </c>
      <c r="AF6">
        <v>110</v>
      </c>
      <c r="AG6">
        <f t="shared" si="7"/>
        <v>110</v>
      </c>
      <c r="AI6" t="s">
        <v>131</v>
      </c>
      <c r="AJ6" s="2">
        <v>32</v>
      </c>
      <c r="AK6">
        <f t="shared" si="8"/>
        <v>32</v>
      </c>
    </row>
    <row r="7" spans="1:39" x14ac:dyDescent="0.15">
      <c r="B7" s="2">
        <v>2004</v>
      </c>
      <c r="C7" s="6" t="s">
        <v>32</v>
      </c>
      <c r="D7" s="2" t="s">
        <v>27</v>
      </c>
      <c r="E7" s="2" t="s">
        <v>36</v>
      </c>
      <c r="F7" s="2">
        <v>1</v>
      </c>
      <c r="G7" s="2">
        <v>63</v>
      </c>
      <c r="H7" s="2">
        <v>29</v>
      </c>
      <c r="I7" s="2">
        <v>1</v>
      </c>
      <c r="J7" s="2">
        <v>4</v>
      </c>
      <c r="K7" s="2">
        <v>1.2</v>
      </c>
      <c r="L7">
        <f t="shared" si="0"/>
        <v>42.05</v>
      </c>
      <c r="M7" s="2">
        <v>0</v>
      </c>
      <c r="N7" s="2">
        <v>0</v>
      </c>
      <c r="O7" s="2">
        <f t="shared" si="1"/>
        <v>231.2</v>
      </c>
      <c r="P7" s="2">
        <v>1.1950000000000001</v>
      </c>
      <c r="Q7" s="2">
        <v>1.1950000000000001</v>
      </c>
      <c r="R7" s="2" t="s">
        <v>121</v>
      </c>
      <c r="S7" s="2">
        <v>1</v>
      </c>
      <c r="X7" s="6">
        <v>3</v>
      </c>
      <c r="Y7" t="str">
        <f t="shared" si="2"/>
        <v>远程</v>
      </c>
      <c r="Z7">
        <f t="shared" si="3"/>
        <v>4</v>
      </c>
      <c r="AA7">
        <f t="shared" si="4"/>
        <v>1</v>
      </c>
      <c r="AB7">
        <f t="shared" si="5"/>
        <v>1.2</v>
      </c>
      <c r="AC7">
        <f t="shared" si="6"/>
        <v>1</v>
      </c>
      <c r="AE7" t="s">
        <v>132</v>
      </c>
      <c r="AF7">
        <v>143</v>
      </c>
      <c r="AG7">
        <f t="shared" si="7"/>
        <v>63</v>
      </c>
      <c r="AI7" t="s">
        <v>132</v>
      </c>
      <c r="AJ7" s="2">
        <f>27.5*AH3</f>
        <v>35.75</v>
      </c>
      <c r="AK7">
        <f t="shared" si="8"/>
        <v>29</v>
      </c>
    </row>
    <row r="8" spans="1:39" x14ac:dyDescent="0.15">
      <c r="B8" s="4">
        <v>2005</v>
      </c>
      <c r="C8" s="6" t="s">
        <v>32</v>
      </c>
      <c r="D8" s="4" t="s">
        <v>24</v>
      </c>
      <c r="E8" s="4" t="s">
        <v>37</v>
      </c>
      <c r="F8" s="4">
        <v>1</v>
      </c>
      <c r="G8" s="2">
        <v>150</v>
      </c>
      <c r="H8" s="2">
        <v>25</v>
      </c>
      <c r="I8" s="2">
        <v>1</v>
      </c>
      <c r="J8" s="2">
        <v>1</v>
      </c>
      <c r="K8" s="2">
        <v>1.2</v>
      </c>
      <c r="L8">
        <f t="shared" si="0"/>
        <v>25</v>
      </c>
      <c r="M8" s="2">
        <v>0</v>
      </c>
      <c r="N8" s="2">
        <v>0</v>
      </c>
      <c r="O8" s="2">
        <f t="shared" ref="O8:O71" si="9">G8*$W$4*(1+M8)+H8*I8*(1+(J8-1)*0.15)*$W$5*(1+N8)</f>
        <v>250</v>
      </c>
      <c r="P8" s="2">
        <v>1.1950000000000001</v>
      </c>
      <c r="Q8" s="2">
        <v>1.1950000000000001</v>
      </c>
      <c r="R8" s="2" t="s">
        <v>121</v>
      </c>
      <c r="S8" s="4">
        <v>2</v>
      </c>
      <c r="X8" s="6">
        <v>1</v>
      </c>
      <c r="Y8" t="str">
        <f t="shared" si="2"/>
        <v>坦克</v>
      </c>
      <c r="Z8">
        <f t="shared" si="3"/>
        <v>1</v>
      </c>
      <c r="AA8">
        <f t="shared" si="4"/>
        <v>2</v>
      </c>
      <c r="AB8">
        <f t="shared" si="5"/>
        <v>1.2</v>
      </c>
      <c r="AC8">
        <f t="shared" si="6"/>
        <v>1</v>
      </c>
      <c r="AE8" t="s">
        <v>133</v>
      </c>
      <c r="AF8">
        <v>63</v>
      </c>
      <c r="AG8">
        <f t="shared" si="7"/>
        <v>150</v>
      </c>
      <c r="AI8" t="s">
        <v>133</v>
      </c>
      <c r="AJ8" s="2">
        <v>29</v>
      </c>
      <c r="AK8">
        <f t="shared" si="8"/>
        <v>25</v>
      </c>
    </row>
    <row r="9" spans="1:39" x14ac:dyDescent="0.15">
      <c r="B9" s="4">
        <v>2006</v>
      </c>
      <c r="C9" s="6" t="s">
        <v>32</v>
      </c>
      <c r="D9" s="4" t="s">
        <v>26</v>
      </c>
      <c r="E9" s="4" t="s">
        <v>49</v>
      </c>
      <c r="F9" s="4">
        <v>1</v>
      </c>
      <c r="G9" s="4">
        <v>110</v>
      </c>
      <c r="H9" s="4">
        <v>32</v>
      </c>
      <c r="I9" s="4">
        <v>1</v>
      </c>
      <c r="J9" s="4">
        <v>1</v>
      </c>
      <c r="K9" s="4">
        <v>1.2</v>
      </c>
      <c r="L9">
        <f>H9*I9*((J9-1)*0.15+1)</f>
        <v>32</v>
      </c>
      <c r="M9" s="4">
        <v>0</v>
      </c>
      <c r="N9" s="4">
        <v>0</v>
      </c>
      <c r="O9" s="4">
        <f t="shared" si="9"/>
        <v>238</v>
      </c>
      <c r="P9" s="2">
        <v>1.1950000000000001</v>
      </c>
      <c r="Q9" s="2">
        <v>1.1950000000000001</v>
      </c>
      <c r="R9" s="2" t="s">
        <v>121</v>
      </c>
      <c r="S9" s="4">
        <v>1</v>
      </c>
      <c r="V9" t="s">
        <v>124</v>
      </c>
      <c r="X9" s="6">
        <v>2</v>
      </c>
      <c r="Y9" t="str">
        <f t="shared" si="2"/>
        <v>近战</v>
      </c>
      <c r="Z9">
        <f t="shared" si="3"/>
        <v>1</v>
      </c>
      <c r="AA9">
        <f t="shared" si="4"/>
        <v>1</v>
      </c>
      <c r="AB9">
        <f t="shared" si="5"/>
        <v>1.2</v>
      </c>
      <c r="AC9">
        <f t="shared" si="6"/>
        <v>1</v>
      </c>
      <c r="AE9" t="s">
        <v>134</v>
      </c>
      <c r="AF9">
        <v>82</v>
      </c>
      <c r="AG9">
        <f t="shared" si="7"/>
        <v>110</v>
      </c>
      <c r="AI9" t="s">
        <v>134</v>
      </c>
      <c r="AJ9" s="4">
        <f>AJ8*1.3</f>
        <v>37.700000000000003</v>
      </c>
      <c r="AK9">
        <f t="shared" si="8"/>
        <v>32</v>
      </c>
    </row>
    <row r="10" spans="1:39" x14ac:dyDescent="0.15">
      <c r="B10" s="4">
        <v>2007</v>
      </c>
      <c r="C10" s="6" t="s">
        <v>32</v>
      </c>
      <c r="D10" s="4" t="s">
        <v>33</v>
      </c>
      <c r="E10" s="4" t="s">
        <v>38</v>
      </c>
      <c r="F10" s="4">
        <v>1</v>
      </c>
      <c r="G10" s="4">
        <v>82</v>
      </c>
      <c r="H10" s="4">
        <v>20</v>
      </c>
      <c r="I10" s="4">
        <v>2</v>
      </c>
      <c r="J10" s="4">
        <v>1</v>
      </c>
      <c r="K10" s="4">
        <v>2.5</v>
      </c>
      <c r="L10">
        <f t="shared" si="0"/>
        <v>40</v>
      </c>
      <c r="M10" s="4">
        <v>0</v>
      </c>
      <c r="N10" s="4">
        <v>0</v>
      </c>
      <c r="O10" s="4">
        <f t="shared" si="9"/>
        <v>242</v>
      </c>
      <c r="P10" s="2">
        <v>1.1950000000000001</v>
      </c>
      <c r="Q10" s="2">
        <v>1.1950000000000001</v>
      </c>
      <c r="R10" s="2" t="s">
        <v>121</v>
      </c>
      <c r="S10" s="4">
        <v>1</v>
      </c>
      <c r="V10" t="s">
        <v>125</v>
      </c>
      <c r="X10" s="6">
        <v>4</v>
      </c>
      <c r="Y10" t="str">
        <f t="shared" si="2"/>
        <v>刺客</v>
      </c>
      <c r="Z10">
        <f t="shared" si="3"/>
        <v>1</v>
      </c>
      <c r="AA10">
        <f t="shared" si="4"/>
        <v>1</v>
      </c>
      <c r="AB10">
        <f t="shared" si="5"/>
        <v>2.5</v>
      </c>
      <c r="AC10">
        <f t="shared" si="6"/>
        <v>2</v>
      </c>
      <c r="AE10" t="s">
        <v>135</v>
      </c>
      <c r="AF10">
        <v>82</v>
      </c>
      <c r="AG10">
        <f t="shared" si="7"/>
        <v>82</v>
      </c>
      <c r="AI10" t="s">
        <v>135</v>
      </c>
      <c r="AJ10" s="4">
        <v>20</v>
      </c>
      <c r="AK10">
        <f>VLOOKUP(C10&amp;D10, $AI$4:$AJ$11, 2, FALSE)</f>
        <v>20</v>
      </c>
    </row>
    <row r="11" spans="1:39" x14ac:dyDescent="0.15">
      <c r="B11" s="4">
        <v>2008</v>
      </c>
      <c r="C11" s="6" t="s">
        <v>31</v>
      </c>
      <c r="D11" s="4" t="s">
        <v>26</v>
      </c>
      <c r="E11" s="4" t="s">
        <v>42</v>
      </c>
      <c r="F11" s="4">
        <v>1</v>
      </c>
      <c r="G11" s="4">
        <v>143</v>
      </c>
      <c r="H11" s="4">
        <v>35.75</v>
      </c>
      <c r="I11" s="4">
        <v>1</v>
      </c>
      <c r="J11" s="4">
        <v>1</v>
      </c>
      <c r="K11" s="4">
        <v>1.2</v>
      </c>
      <c r="L11">
        <f t="shared" si="0"/>
        <v>35.75</v>
      </c>
      <c r="M11" s="4">
        <v>0</v>
      </c>
      <c r="N11" s="4">
        <v>0</v>
      </c>
      <c r="O11" s="4">
        <f t="shared" si="9"/>
        <v>286</v>
      </c>
      <c r="P11" s="2">
        <v>1.1950000000000001</v>
      </c>
      <c r="Q11" s="2">
        <v>1.1950000000000001</v>
      </c>
      <c r="R11" s="2" t="s">
        <v>145</v>
      </c>
      <c r="S11" s="4">
        <v>1</v>
      </c>
      <c r="X11" s="6">
        <v>2</v>
      </c>
      <c r="Y11" t="str">
        <f t="shared" si="2"/>
        <v>近战</v>
      </c>
      <c r="Z11">
        <f t="shared" si="3"/>
        <v>1</v>
      </c>
      <c r="AA11">
        <f t="shared" si="4"/>
        <v>1</v>
      </c>
      <c r="AB11">
        <f t="shared" si="5"/>
        <v>1.2</v>
      </c>
      <c r="AC11">
        <f t="shared" si="6"/>
        <v>1</v>
      </c>
      <c r="AE11" t="s">
        <v>136</v>
      </c>
      <c r="AF11">
        <v>106</v>
      </c>
      <c r="AG11">
        <f t="shared" si="7"/>
        <v>143</v>
      </c>
      <c r="AI11" t="s">
        <v>136</v>
      </c>
      <c r="AJ11" s="4">
        <f>20*1.3</f>
        <v>26</v>
      </c>
      <c r="AK11">
        <f t="shared" si="8"/>
        <v>35.75</v>
      </c>
      <c r="AM11" t="s">
        <v>140</v>
      </c>
    </row>
    <row r="12" spans="1:39" x14ac:dyDescent="0.15">
      <c r="B12" s="5">
        <v>2009</v>
      </c>
      <c r="C12" s="6" t="s">
        <v>31</v>
      </c>
      <c r="D12" s="5" t="s">
        <v>24</v>
      </c>
      <c r="E12" s="4" t="s">
        <v>44</v>
      </c>
      <c r="F12" s="2">
        <v>1</v>
      </c>
      <c r="G12" s="5">
        <v>195</v>
      </c>
      <c r="H12" s="4">
        <v>32.5</v>
      </c>
      <c r="I12" s="5">
        <v>1</v>
      </c>
      <c r="J12" s="5">
        <v>1</v>
      </c>
      <c r="K12" s="5">
        <v>1.2</v>
      </c>
      <c r="L12">
        <f t="shared" si="0"/>
        <v>32.5</v>
      </c>
      <c r="M12" s="2">
        <v>0</v>
      </c>
      <c r="N12" s="2">
        <v>0</v>
      </c>
      <c r="O12" s="2">
        <f t="shared" si="9"/>
        <v>325</v>
      </c>
      <c r="P12" s="2">
        <v>1.1950000000000001</v>
      </c>
      <c r="Q12" s="2">
        <v>1.1950000000000001</v>
      </c>
      <c r="R12" s="5" t="s">
        <v>121</v>
      </c>
      <c r="S12" s="5">
        <v>2</v>
      </c>
      <c r="X12" s="6">
        <v>1</v>
      </c>
      <c r="Y12" t="str">
        <f t="shared" si="2"/>
        <v>坦克</v>
      </c>
      <c r="Z12">
        <f t="shared" si="3"/>
        <v>1</v>
      </c>
      <c r="AA12">
        <f t="shared" si="4"/>
        <v>2</v>
      </c>
      <c r="AB12">
        <f t="shared" si="5"/>
        <v>1.2</v>
      </c>
      <c r="AC12">
        <f t="shared" si="6"/>
        <v>1</v>
      </c>
      <c r="AG12">
        <f t="shared" si="7"/>
        <v>195</v>
      </c>
      <c r="AK12">
        <f t="shared" si="8"/>
        <v>32.5</v>
      </c>
    </row>
    <row r="13" spans="1:39" x14ac:dyDescent="0.15">
      <c r="B13" s="5">
        <v>2010</v>
      </c>
      <c r="C13" s="6" t="s">
        <v>31</v>
      </c>
      <c r="D13" s="5" t="s">
        <v>26</v>
      </c>
      <c r="E13" s="4" t="s">
        <v>45</v>
      </c>
      <c r="F13" s="2">
        <v>1</v>
      </c>
      <c r="G13" s="5">
        <v>143</v>
      </c>
      <c r="H13" s="4">
        <v>35.75</v>
      </c>
      <c r="I13" s="5">
        <v>1</v>
      </c>
      <c r="J13" s="5">
        <v>1</v>
      </c>
      <c r="K13" s="5">
        <v>1.2</v>
      </c>
      <c r="L13">
        <f t="shared" si="0"/>
        <v>35.75</v>
      </c>
      <c r="M13" s="2">
        <v>0</v>
      </c>
      <c r="N13" s="2">
        <v>0</v>
      </c>
      <c r="O13" s="2">
        <f t="shared" si="9"/>
        <v>286</v>
      </c>
      <c r="P13" s="2">
        <v>1.1950000000000001</v>
      </c>
      <c r="Q13" s="2">
        <v>1.1950000000000001</v>
      </c>
      <c r="R13" s="5" t="s">
        <v>121</v>
      </c>
      <c r="S13" s="5">
        <v>1</v>
      </c>
      <c r="X13" s="6">
        <v>2</v>
      </c>
      <c r="Y13" t="str">
        <f t="shared" si="2"/>
        <v>近战</v>
      </c>
      <c r="Z13">
        <f t="shared" si="3"/>
        <v>1</v>
      </c>
      <c r="AA13">
        <f t="shared" si="4"/>
        <v>1</v>
      </c>
      <c r="AB13">
        <f t="shared" si="5"/>
        <v>1.2</v>
      </c>
      <c r="AC13">
        <f t="shared" si="6"/>
        <v>1</v>
      </c>
      <c r="AE13">
        <f>AF4/4</f>
        <v>37.5</v>
      </c>
      <c r="AG13">
        <f t="shared" si="7"/>
        <v>143</v>
      </c>
      <c r="AI13">
        <f>AJ4/4</f>
        <v>6.25</v>
      </c>
      <c r="AK13">
        <f t="shared" si="8"/>
        <v>35.75</v>
      </c>
    </row>
    <row r="14" spans="1:39" x14ac:dyDescent="0.15">
      <c r="B14" s="5">
        <v>2011</v>
      </c>
      <c r="C14" s="6" t="s">
        <v>31</v>
      </c>
      <c r="D14" s="5" t="s">
        <v>27</v>
      </c>
      <c r="E14" s="4" t="s">
        <v>46</v>
      </c>
      <c r="F14" s="2">
        <v>1</v>
      </c>
      <c r="G14" s="5">
        <v>82</v>
      </c>
      <c r="H14" s="4">
        <v>37.700000000000003</v>
      </c>
      <c r="I14" s="5">
        <v>1</v>
      </c>
      <c r="J14" s="5">
        <v>4</v>
      </c>
      <c r="K14" s="5">
        <v>1.2</v>
      </c>
      <c r="L14">
        <f t="shared" si="0"/>
        <v>54.664999999999999</v>
      </c>
      <c r="M14" s="2">
        <v>0</v>
      </c>
      <c r="N14" s="2">
        <v>0</v>
      </c>
      <c r="O14" s="2">
        <f t="shared" si="9"/>
        <v>300.65999999999997</v>
      </c>
      <c r="P14" s="2">
        <v>1.1950000000000001</v>
      </c>
      <c r="Q14" s="2">
        <v>1.1950000000000001</v>
      </c>
      <c r="R14" s="5" t="s">
        <v>121</v>
      </c>
      <c r="S14" s="5">
        <v>1</v>
      </c>
      <c r="X14" s="6">
        <v>3</v>
      </c>
      <c r="Y14" t="str">
        <f t="shared" si="2"/>
        <v>远程</v>
      </c>
      <c r="Z14">
        <f t="shared" si="3"/>
        <v>4</v>
      </c>
      <c r="AA14">
        <f t="shared" si="4"/>
        <v>1</v>
      </c>
      <c r="AB14">
        <f t="shared" si="5"/>
        <v>1.2</v>
      </c>
      <c r="AC14">
        <f t="shared" si="6"/>
        <v>1</v>
      </c>
      <c r="AE14">
        <f t="shared" ref="AE14:AE20" si="10">AF5/4</f>
        <v>48.75</v>
      </c>
      <c r="AG14">
        <f t="shared" si="7"/>
        <v>82</v>
      </c>
      <c r="AI14">
        <f t="shared" ref="AI14:AI20" si="11">AJ5/4</f>
        <v>8.125</v>
      </c>
      <c r="AK14">
        <f t="shared" si="8"/>
        <v>37.700000000000003</v>
      </c>
    </row>
    <row r="15" spans="1:39" x14ac:dyDescent="0.15">
      <c r="B15" s="5">
        <v>2012</v>
      </c>
      <c r="C15" s="6" t="s">
        <v>31</v>
      </c>
      <c r="D15" s="5" t="s">
        <v>24</v>
      </c>
      <c r="E15" s="4" t="s">
        <v>47</v>
      </c>
      <c r="F15" s="4">
        <v>1</v>
      </c>
      <c r="G15" s="5">
        <v>195</v>
      </c>
      <c r="H15" s="4">
        <v>32.5</v>
      </c>
      <c r="I15" s="5">
        <v>1</v>
      </c>
      <c r="J15" s="5">
        <v>1</v>
      </c>
      <c r="K15" s="5">
        <v>1.2</v>
      </c>
      <c r="L15">
        <f t="shared" si="0"/>
        <v>32.5</v>
      </c>
      <c r="M15" s="2">
        <v>0</v>
      </c>
      <c r="N15" s="2">
        <v>0</v>
      </c>
      <c r="O15" s="2">
        <f t="shared" si="9"/>
        <v>325</v>
      </c>
      <c r="P15" s="2">
        <v>1.1950000000000001</v>
      </c>
      <c r="Q15" s="2">
        <v>1.1950000000000001</v>
      </c>
      <c r="R15" s="5" t="s">
        <v>121</v>
      </c>
      <c r="S15" s="5">
        <v>2</v>
      </c>
      <c r="X15" s="6">
        <v>1</v>
      </c>
      <c r="Y15" t="str">
        <f t="shared" si="2"/>
        <v>坦克</v>
      </c>
      <c r="Z15">
        <f t="shared" si="3"/>
        <v>1</v>
      </c>
      <c r="AA15">
        <f t="shared" si="4"/>
        <v>2</v>
      </c>
      <c r="AB15">
        <f t="shared" si="5"/>
        <v>1.2</v>
      </c>
      <c r="AC15">
        <f t="shared" si="6"/>
        <v>1</v>
      </c>
      <c r="AE15">
        <f t="shared" si="10"/>
        <v>27.5</v>
      </c>
      <c r="AG15">
        <f t="shared" si="7"/>
        <v>195</v>
      </c>
      <c r="AI15">
        <f t="shared" si="11"/>
        <v>8</v>
      </c>
      <c r="AK15">
        <f t="shared" si="8"/>
        <v>32.5</v>
      </c>
    </row>
    <row r="16" spans="1:39" x14ac:dyDescent="0.15">
      <c r="B16" s="5">
        <v>2013</v>
      </c>
      <c r="C16" s="6" t="s">
        <v>31</v>
      </c>
      <c r="D16" s="5" t="s">
        <v>26</v>
      </c>
      <c r="E16" s="4" t="s">
        <v>50</v>
      </c>
      <c r="F16" s="4">
        <v>1</v>
      </c>
      <c r="G16" s="5">
        <v>143</v>
      </c>
      <c r="H16" s="4">
        <v>35.75</v>
      </c>
      <c r="I16" s="5">
        <v>1</v>
      </c>
      <c r="J16" s="5">
        <v>1</v>
      </c>
      <c r="K16" s="5">
        <v>1.2</v>
      </c>
      <c r="L16">
        <f t="shared" si="0"/>
        <v>35.75</v>
      </c>
      <c r="M16" s="2">
        <v>0</v>
      </c>
      <c r="N16" s="2">
        <v>0</v>
      </c>
      <c r="O16" s="2">
        <f t="shared" si="9"/>
        <v>286</v>
      </c>
      <c r="P16" s="2">
        <v>1.1950000000000001</v>
      </c>
      <c r="Q16" s="2">
        <v>1.1950000000000001</v>
      </c>
      <c r="R16" s="5" t="s">
        <v>121</v>
      </c>
      <c r="S16" s="5">
        <v>1</v>
      </c>
      <c r="X16" s="6">
        <v>2</v>
      </c>
      <c r="Y16" t="str">
        <f t="shared" si="2"/>
        <v>近战</v>
      </c>
      <c r="Z16">
        <f t="shared" si="3"/>
        <v>1</v>
      </c>
      <c r="AA16">
        <f t="shared" si="4"/>
        <v>1</v>
      </c>
      <c r="AB16">
        <f t="shared" si="5"/>
        <v>1.2</v>
      </c>
      <c r="AC16">
        <f t="shared" si="6"/>
        <v>1</v>
      </c>
      <c r="AE16">
        <f t="shared" si="10"/>
        <v>35.75</v>
      </c>
      <c r="AG16">
        <f t="shared" si="7"/>
        <v>143</v>
      </c>
      <c r="AI16">
        <f t="shared" si="11"/>
        <v>8.9375</v>
      </c>
      <c r="AK16">
        <f t="shared" si="8"/>
        <v>35.75</v>
      </c>
    </row>
    <row r="17" spans="2:37" x14ac:dyDescent="0.15">
      <c r="B17" s="5">
        <v>2014</v>
      </c>
      <c r="C17" s="6" t="s">
        <v>31</v>
      </c>
      <c r="D17" s="5" t="s">
        <v>33</v>
      </c>
      <c r="E17" s="4" t="s">
        <v>48</v>
      </c>
      <c r="F17" s="4">
        <v>1</v>
      </c>
      <c r="G17" s="5">
        <v>106</v>
      </c>
      <c r="H17" s="4">
        <v>26</v>
      </c>
      <c r="I17" s="5">
        <v>2</v>
      </c>
      <c r="J17" s="5">
        <v>1</v>
      </c>
      <c r="K17" s="5">
        <v>2.5</v>
      </c>
      <c r="L17">
        <f t="shared" si="0"/>
        <v>52</v>
      </c>
      <c r="M17" s="4">
        <v>0</v>
      </c>
      <c r="N17" s="4">
        <v>0</v>
      </c>
      <c r="O17" s="4">
        <f t="shared" si="9"/>
        <v>314</v>
      </c>
      <c r="P17" s="2">
        <v>1.1950000000000001</v>
      </c>
      <c r="Q17" s="2">
        <v>1.1950000000000001</v>
      </c>
      <c r="R17" s="5" t="s">
        <v>121</v>
      </c>
      <c r="S17" s="5">
        <v>1</v>
      </c>
      <c r="X17" s="6">
        <v>4</v>
      </c>
      <c r="Y17" t="str">
        <f t="shared" si="2"/>
        <v>刺客</v>
      </c>
      <c r="Z17">
        <f t="shared" si="3"/>
        <v>1</v>
      </c>
      <c r="AA17">
        <f t="shared" si="4"/>
        <v>1</v>
      </c>
      <c r="AB17">
        <f t="shared" si="5"/>
        <v>2.5</v>
      </c>
      <c r="AC17">
        <f t="shared" si="6"/>
        <v>2</v>
      </c>
      <c r="AE17">
        <f t="shared" si="10"/>
        <v>15.75</v>
      </c>
      <c r="AG17">
        <f t="shared" si="7"/>
        <v>106</v>
      </c>
      <c r="AI17">
        <f t="shared" si="11"/>
        <v>7.25</v>
      </c>
      <c r="AK17">
        <f t="shared" si="8"/>
        <v>26</v>
      </c>
    </row>
    <row r="18" spans="2:37" x14ac:dyDescent="0.15">
      <c r="B18" s="5">
        <v>2015</v>
      </c>
      <c r="C18" s="6" t="s">
        <v>32</v>
      </c>
      <c r="D18" s="5" t="s">
        <v>24</v>
      </c>
      <c r="E18" s="4" t="s">
        <v>39</v>
      </c>
      <c r="F18" s="4">
        <v>1</v>
      </c>
      <c r="G18" s="5">
        <v>150</v>
      </c>
      <c r="H18" s="5">
        <v>25</v>
      </c>
      <c r="I18" s="5">
        <v>1</v>
      </c>
      <c r="J18" s="5">
        <v>1</v>
      </c>
      <c r="K18" s="5">
        <v>1.2</v>
      </c>
      <c r="L18">
        <f t="shared" si="0"/>
        <v>25</v>
      </c>
      <c r="M18" s="4">
        <v>0</v>
      </c>
      <c r="N18" s="4">
        <v>0</v>
      </c>
      <c r="O18" s="4">
        <f t="shared" si="9"/>
        <v>250</v>
      </c>
      <c r="P18" s="2">
        <v>1.1950000000000001</v>
      </c>
      <c r="Q18" s="2">
        <v>1.1950000000000001</v>
      </c>
      <c r="R18" s="5" t="s">
        <v>122</v>
      </c>
      <c r="S18" s="5">
        <v>2</v>
      </c>
      <c r="X18" s="6">
        <v>1</v>
      </c>
      <c r="Y18" t="str">
        <f t="shared" si="2"/>
        <v>坦克</v>
      </c>
      <c r="Z18">
        <f t="shared" si="3"/>
        <v>1</v>
      </c>
      <c r="AA18">
        <f t="shared" si="4"/>
        <v>2</v>
      </c>
      <c r="AB18">
        <f t="shared" si="5"/>
        <v>1.2</v>
      </c>
      <c r="AC18">
        <f t="shared" si="6"/>
        <v>1</v>
      </c>
      <c r="AE18">
        <f t="shared" si="10"/>
        <v>20.5</v>
      </c>
      <c r="AG18">
        <f t="shared" si="7"/>
        <v>150</v>
      </c>
      <c r="AI18">
        <f t="shared" si="11"/>
        <v>9.4250000000000007</v>
      </c>
      <c r="AK18">
        <f t="shared" si="8"/>
        <v>25</v>
      </c>
    </row>
    <row r="19" spans="2:37" x14ac:dyDescent="0.15">
      <c r="B19" s="5">
        <v>2016</v>
      </c>
      <c r="C19" s="6" t="s">
        <v>32</v>
      </c>
      <c r="D19" s="5" t="s">
        <v>27</v>
      </c>
      <c r="E19" s="4" t="s">
        <v>40</v>
      </c>
      <c r="F19" s="2">
        <v>1</v>
      </c>
      <c r="G19" s="5">
        <v>63</v>
      </c>
      <c r="H19" s="5">
        <v>29</v>
      </c>
      <c r="I19" s="5">
        <v>1</v>
      </c>
      <c r="J19" s="5">
        <v>4</v>
      </c>
      <c r="K19" s="5">
        <v>1.2</v>
      </c>
      <c r="L19">
        <f t="shared" si="0"/>
        <v>42.05</v>
      </c>
      <c r="M19" s="4">
        <v>0</v>
      </c>
      <c r="N19" s="4">
        <v>0</v>
      </c>
      <c r="O19" s="4">
        <f t="shared" si="9"/>
        <v>231.2</v>
      </c>
      <c r="P19" s="2">
        <v>1.1950000000000001</v>
      </c>
      <c r="Q19" s="2">
        <v>1.1950000000000001</v>
      </c>
      <c r="R19" s="5" t="s">
        <v>122</v>
      </c>
      <c r="S19" s="5">
        <v>1</v>
      </c>
      <c r="X19" s="6">
        <v>3</v>
      </c>
      <c r="Y19" t="str">
        <f t="shared" si="2"/>
        <v>远程</v>
      </c>
      <c r="Z19">
        <f t="shared" si="3"/>
        <v>4</v>
      </c>
      <c r="AA19">
        <f t="shared" si="4"/>
        <v>1</v>
      </c>
      <c r="AB19">
        <f t="shared" si="5"/>
        <v>1.2</v>
      </c>
      <c r="AC19">
        <f t="shared" si="6"/>
        <v>1</v>
      </c>
      <c r="AE19">
        <f t="shared" si="10"/>
        <v>20.5</v>
      </c>
      <c r="AG19">
        <f t="shared" si="7"/>
        <v>63</v>
      </c>
      <c r="AI19">
        <f t="shared" si="11"/>
        <v>5</v>
      </c>
      <c r="AK19">
        <f t="shared" si="8"/>
        <v>29</v>
      </c>
    </row>
    <row r="20" spans="2:37" x14ac:dyDescent="0.15">
      <c r="B20" s="5">
        <v>2017</v>
      </c>
      <c r="C20" s="6" t="s">
        <v>32</v>
      </c>
      <c r="D20" s="5" t="s">
        <v>26</v>
      </c>
      <c r="E20" s="4" t="s">
        <v>51</v>
      </c>
      <c r="F20" s="2">
        <v>1</v>
      </c>
      <c r="G20" s="5">
        <v>110</v>
      </c>
      <c r="H20" s="5">
        <v>32</v>
      </c>
      <c r="I20" s="5">
        <v>1</v>
      </c>
      <c r="J20" s="5">
        <v>1</v>
      </c>
      <c r="K20" s="5">
        <v>1.2</v>
      </c>
      <c r="L20">
        <f t="shared" si="0"/>
        <v>32</v>
      </c>
      <c r="M20" s="2">
        <v>0</v>
      </c>
      <c r="N20" s="2">
        <v>0</v>
      </c>
      <c r="O20" s="2">
        <f t="shared" si="9"/>
        <v>238</v>
      </c>
      <c r="P20" s="2">
        <v>1.1950000000000001</v>
      </c>
      <c r="Q20" s="2">
        <v>1.1950000000000001</v>
      </c>
      <c r="R20" s="5" t="s">
        <v>122</v>
      </c>
      <c r="S20" s="5">
        <v>1</v>
      </c>
      <c r="X20" s="6">
        <v>2</v>
      </c>
      <c r="Y20" t="str">
        <f t="shared" si="2"/>
        <v>近战</v>
      </c>
      <c r="Z20">
        <f t="shared" si="3"/>
        <v>1</v>
      </c>
      <c r="AA20">
        <f t="shared" si="4"/>
        <v>1</v>
      </c>
      <c r="AB20">
        <f t="shared" si="5"/>
        <v>1.2</v>
      </c>
      <c r="AC20">
        <f t="shared" si="6"/>
        <v>1</v>
      </c>
      <c r="AE20">
        <f t="shared" si="10"/>
        <v>26.5</v>
      </c>
      <c r="AG20">
        <f t="shared" si="7"/>
        <v>110</v>
      </c>
      <c r="AI20">
        <f t="shared" si="11"/>
        <v>6.5</v>
      </c>
      <c r="AK20">
        <f t="shared" si="8"/>
        <v>32</v>
      </c>
    </row>
    <row r="21" spans="2:37" x14ac:dyDescent="0.15">
      <c r="B21" s="5">
        <v>2018</v>
      </c>
      <c r="C21" s="6" t="s">
        <v>32</v>
      </c>
      <c r="D21" s="5" t="s">
        <v>33</v>
      </c>
      <c r="E21" s="4" t="s">
        <v>41</v>
      </c>
      <c r="F21" s="2">
        <v>1</v>
      </c>
      <c r="G21" s="5">
        <v>82</v>
      </c>
      <c r="H21" s="5">
        <v>20</v>
      </c>
      <c r="I21" s="5">
        <v>2</v>
      </c>
      <c r="J21" s="5">
        <v>1</v>
      </c>
      <c r="K21" s="5">
        <v>2.5</v>
      </c>
      <c r="L21">
        <f t="shared" si="0"/>
        <v>40</v>
      </c>
      <c r="M21" s="2">
        <v>0</v>
      </c>
      <c r="N21" s="2">
        <v>0</v>
      </c>
      <c r="O21" s="2">
        <f t="shared" si="9"/>
        <v>242</v>
      </c>
      <c r="P21" s="2">
        <v>1.1950000000000001</v>
      </c>
      <c r="Q21" s="2">
        <v>1.1950000000000001</v>
      </c>
      <c r="R21" s="5" t="s">
        <v>122</v>
      </c>
      <c r="S21" s="5">
        <v>1</v>
      </c>
      <c r="X21" s="6">
        <v>4</v>
      </c>
      <c r="Y21" t="str">
        <f t="shared" si="2"/>
        <v>刺客</v>
      </c>
      <c r="Z21">
        <f t="shared" si="3"/>
        <v>1</v>
      </c>
      <c r="AA21">
        <f t="shared" si="4"/>
        <v>1</v>
      </c>
      <c r="AB21">
        <f t="shared" si="5"/>
        <v>2.5</v>
      </c>
      <c r="AC21">
        <f t="shared" si="6"/>
        <v>2</v>
      </c>
      <c r="AG21">
        <f t="shared" si="7"/>
        <v>82</v>
      </c>
      <c r="AK21">
        <f t="shared" si="8"/>
        <v>20</v>
      </c>
    </row>
    <row r="22" spans="2:37" x14ac:dyDescent="0.15">
      <c r="B22" s="5">
        <v>2019</v>
      </c>
      <c r="C22" s="6" t="s">
        <v>31</v>
      </c>
      <c r="D22" s="5" t="s">
        <v>24</v>
      </c>
      <c r="E22" s="4" t="s">
        <v>52</v>
      </c>
      <c r="F22" s="4">
        <v>1</v>
      </c>
      <c r="G22" s="5">
        <v>195</v>
      </c>
      <c r="H22" s="5">
        <v>32.5</v>
      </c>
      <c r="I22" s="5">
        <v>1</v>
      </c>
      <c r="J22" s="5">
        <v>1</v>
      </c>
      <c r="K22" s="5">
        <v>1.2</v>
      </c>
      <c r="L22">
        <f t="shared" si="0"/>
        <v>32.5</v>
      </c>
      <c r="M22" s="2">
        <v>0</v>
      </c>
      <c r="N22" s="2">
        <v>0</v>
      </c>
      <c r="O22" s="2">
        <f t="shared" si="9"/>
        <v>325</v>
      </c>
      <c r="P22" s="2">
        <v>1.1950000000000001</v>
      </c>
      <c r="Q22" s="2">
        <v>1.1950000000000001</v>
      </c>
      <c r="R22" s="5" t="s">
        <v>122</v>
      </c>
      <c r="S22" s="5">
        <v>2</v>
      </c>
      <c r="X22" s="6">
        <v>1</v>
      </c>
      <c r="Y22" t="str">
        <f t="shared" si="2"/>
        <v>坦克</v>
      </c>
      <c r="Z22">
        <f t="shared" si="3"/>
        <v>1</v>
      </c>
      <c r="AA22">
        <f t="shared" si="4"/>
        <v>2</v>
      </c>
      <c r="AB22">
        <f t="shared" si="5"/>
        <v>1.2</v>
      </c>
      <c r="AC22">
        <f t="shared" si="6"/>
        <v>1</v>
      </c>
      <c r="AG22">
        <f t="shared" si="7"/>
        <v>195</v>
      </c>
      <c r="AK22">
        <f t="shared" si="8"/>
        <v>32.5</v>
      </c>
    </row>
    <row r="23" spans="2:37" x14ac:dyDescent="0.15">
      <c r="B23" s="5">
        <v>2020</v>
      </c>
      <c r="C23" s="6" t="s">
        <v>31</v>
      </c>
      <c r="D23" s="5" t="s">
        <v>27</v>
      </c>
      <c r="E23" s="4" t="s">
        <v>53</v>
      </c>
      <c r="F23" s="4">
        <v>1</v>
      </c>
      <c r="G23" s="5">
        <v>82</v>
      </c>
      <c r="H23" s="5">
        <v>37.700000000000003</v>
      </c>
      <c r="I23" s="5">
        <v>1</v>
      </c>
      <c r="J23" s="5">
        <v>4</v>
      </c>
      <c r="K23" s="5">
        <v>1.2</v>
      </c>
      <c r="L23">
        <f t="shared" si="0"/>
        <v>54.664999999999999</v>
      </c>
      <c r="M23" s="2">
        <v>0</v>
      </c>
      <c r="N23" s="2">
        <v>0</v>
      </c>
      <c r="O23" s="2">
        <f t="shared" si="9"/>
        <v>300.65999999999997</v>
      </c>
      <c r="P23" s="2">
        <v>1.1950000000000001</v>
      </c>
      <c r="Q23" s="2">
        <v>1.1950000000000001</v>
      </c>
      <c r="R23" s="5" t="s">
        <v>122</v>
      </c>
      <c r="S23" s="5">
        <v>1</v>
      </c>
      <c r="X23" s="6">
        <v>3</v>
      </c>
      <c r="Y23" t="str">
        <f t="shared" si="2"/>
        <v>远程</v>
      </c>
      <c r="Z23">
        <f t="shared" si="3"/>
        <v>4</v>
      </c>
      <c r="AA23">
        <f t="shared" si="4"/>
        <v>1</v>
      </c>
      <c r="AB23">
        <f t="shared" si="5"/>
        <v>1.2</v>
      </c>
      <c r="AC23">
        <f t="shared" si="6"/>
        <v>1</v>
      </c>
      <c r="AG23">
        <f t="shared" si="7"/>
        <v>82</v>
      </c>
      <c r="AK23">
        <f t="shared" si="8"/>
        <v>37.700000000000003</v>
      </c>
    </row>
    <row r="24" spans="2:37" x14ac:dyDescent="0.15">
      <c r="B24" s="5">
        <v>2021</v>
      </c>
      <c r="C24" s="6" t="s">
        <v>31</v>
      </c>
      <c r="D24" s="5" t="s">
        <v>26</v>
      </c>
      <c r="E24" s="4" t="s">
        <v>54</v>
      </c>
      <c r="F24" s="4">
        <v>1</v>
      </c>
      <c r="G24" s="5">
        <v>143</v>
      </c>
      <c r="H24" s="5">
        <v>35.75</v>
      </c>
      <c r="I24" s="5">
        <v>1</v>
      </c>
      <c r="J24" s="5">
        <v>1</v>
      </c>
      <c r="K24" s="5">
        <v>1.2</v>
      </c>
      <c r="L24">
        <f t="shared" si="0"/>
        <v>35.75</v>
      </c>
      <c r="M24" s="2">
        <v>0</v>
      </c>
      <c r="N24" s="2">
        <v>0</v>
      </c>
      <c r="O24" s="2">
        <f t="shared" si="9"/>
        <v>286</v>
      </c>
      <c r="P24" s="2">
        <v>1.1950000000000001</v>
      </c>
      <c r="Q24" s="2">
        <v>1.1950000000000001</v>
      </c>
      <c r="R24" s="5" t="s">
        <v>122</v>
      </c>
      <c r="S24" s="5">
        <v>1</v>
      </c>
      <c r="X24" s="6">
        <v>2</v>
      </c>
      <c r="Y24" t="str">
        <f t="shared" si="2"/>
        <v>近战</v>
      </c>
      <c r="Z24">
        <f t="shared" si="3"/>
        <v>1</v>
      </c>
      <c r="AA24">
        <f t="shared" si="4"/>
        <v>1</v>
      </c>
      <c r="AB24">
        <f t="shared" si="5"/>
        <v>1.2</v>
      </c>
      <c r="AC24">
        <f t="shared" si="6"/>
        <v>1</v>
      </c>
      <c r="AG24">
        <f t="shared" si="7"/>
        <v>143</v>
      </c>
      <c r="AK24">
        <f t="shared" si="8"/>
        <v>35.75</v>
      </c>
    </row>
    <row r="25" spans="2:37" x14ac:dyDescent="0.15">
      <c r="B25" s="5">
        <v>2022</v>
      </c>
      <c r="C25" s="6" t="s">
        <v>31</v>
      </c>
      <c r="D25" s="5" t="s">
        <v>33</v>
      </c>
      <c r="E25" s="4" t="s">
        <v>55</v>
      </c>
      <c r="F25" s="4">
        <v>1</v>
      </c>
      <c r="G25" s="5">
        <v>106</v>
      </c>
      <c r="H25" s="5">
        <v>26</v>
      </c>
      <c r="I25" s="5">
        <v>2</v>
      </c>
      <c r="J25" s="5">
        <v>1</v>
      </c>
      <c r="K25" s="5">
        <v>2.5</v>
      </c>
      <c r="L25">
        <f t="shared" si="0"/>
        <v>52</v>
      </c>
      <c r="M25" s="4">
        <v>0</v>
      </c>
      <c r="N25" s="4">
        <v>0</v>
      </c>
      <c r="O25" s="4">
        <f t="shared" si="9"/>
        <v>314</v>
      </c>
      <c r="P25" s="2">
        <v>1.1950000000000001</v>
      </c>
      <c r="Q25" s="2">
        <v>1.1950000000000001</v>
      </c>
      <c r="R25" s="5" t="s">
        <v>122</v>
      </c>
      <c r="S25" s="5">
        <v>1</v>
      </c>
      <c r="X25" s="6">
        <v>4</v>
      </c>
      <c r="Y25" t="str">
        <f t="shared" si="2"/>
        <v>刺客</v>
      </c>
      <c r="Z25">
        <f t="shared" si="3"/>
        <v>1</v>
      </c>
      <c r="AA25">
        <f t="shared" si="4"/>
        <v>1</v>
      </c>
      <c r="AB25">
        <f t="shared" si="5"/>
        <v>2.5</v>
      </c>
      <c r="AC25">
        <f t="shared" si="6"/>
        <v>2</v>
      </c>
      <c r="AG25">
        <f t="shared" si="7"/>
        <v>106</v>
      </c>
      <c r="AK25">
        <f t="shared" si="8"/>
        <v>26</v>
      </c>
    </row>
    <row r="26" spans="2:37" x14ac:dyDescent="0.15">
      <c r="B26" s="5">
        <v>2023</v>
      </c>
      <c r="C26" s="6" t="s">
        <v>32</v>
      </c>
      <c r="D26" s="5" t="s">
        <v>26</v>
      </c>
      <c r="E26" s="4" t="s">
        <v>56</v>
      </c>
      <c r="F26" s="2">
        <v>1</v>
      </c>
      <c r="G26" s="5">
        <v>110</v>
      </c>
      <c r="H26" s="5">
        <v>32</v>
      </c>
      <c r="I26" s="5">
        <v>1</v>
      </c>
      <c r="J26" s="5">
        <v>1</v>
      </c>
      <c r="K26" s="5">
        <v>1.2</v>
      </c>
      <c r="L26">
        <f t="shared" si="0"/>
        <v>32</v>
      </c>
      <c r="M26" s="4">
        <v>0</v>
      </c>
      <c r="N26" s="4">
        <v>0</v>
      </c>
      <c r="O26" s="4">
        <f t="shared" si="9"/>
        <v>238</v>
      </c>
      <c r="P26" s="2">
        <v>1.1950000000000001</v>
      </c>
      <c r="Q26" s="2">
        <v>1.1950000000000001</v>
      </c>
      <c r="R26" s="5" t="s">
        <v>121</v>
      </c>
      <c r="S26" s="5">
        <v>1</v>
      </c>
      <c r="X26" s="6">
        <v>2</v>
      </c>
      <c r="Y26" t="str">
        <f t="shared" si="2"/>
        <v>近战</v>
      </c>
      <c r="Z26">
        <f t="shared" si="3"/>
        <v>1</v>
      </c>
      <c r="AA26">
        <f t="shared" si="4"/>
        <v>1</v>
      </c>
      <c r="AB26">
        <f t="shared" si="5"/>
        <v>1.2</v>
      </c>
      <c r="AC26">
        <f t="shared" si="6"/>
        <v>1</v>
      </c>
      <c r="AG26">
        <f t="shared" si="7"/>
        <v>110</v>
      </c>
      <c r="AK26">
        <f t="shared" si="8"/>
        <v>32</v>
      </c>
    </row>
    <row r="27" spans="2:37" x14ac:dyDescent="0.15">
      <c r="B27" s="5">
        <v>2024</v>
      </c>
      <c r="C27" s="6" t="s">
        <v>32</v>
      </c>
      <c r="D27" s="5" t="s">
        <v>26</v>
      </c>
      <c r="E27" s="4" t="s">
        <v>57</v>
      </c>
      <c r="F27" s="2">
        <v>1</v>
      </c>
      <c r="G27" s="5">
        <v>110</v>
      </c>
      <c r="H27" s="5">
        <v>32</v>
      </c>
      <c r="I27" s="5">
        <v>1</v>
      </c>
      <c r="J27" s="5">
        <v>1</v>
      </c>
      <c r="K27" s="5">
        <v>1.2</v>
      </c>
      <c r="L27">
        <f t="shared" si="0"/>
        <v>32</v>
      </c>
      <c r="M27" s="4">
        <v>0</v>
      </c>
      <c r="N27" s="4">
        <v>0</v>
      </c>
      <c r="O27" s="4">
        <f t="shared" si="9"/>
        <v>238</v>
      </c>
      <c r="P27" s="2">
        <v>1.1950000000000001</v>
      </c>
      <c r="Q27" s="2">
        <v>1.1950000000000001</v>
      </c>
      <c r="R27" s="5" t="s">
        <v>121</v>
      </c>
      <c r="S27" s="5">
        <v>1</v>
      </c>
      <c r="X27" s="6">
        <v>2</v>
      </c>
      <c r="Y27" t="str">
        <f t="shared" si="2"/>
        <v>近战</v>
      </c>
      <c r="Z27">
        <f t="shared" si="3"/>
        <v>1</v>
      </c>
      <c r="AA27">
        <f t="shared" si="4"/>
        <v>1</v>
      </c>
      <c r="AB27">
        <f t="shared" si="5"/>
        <v>1.2</v>
      </c>
      <c r="AC27">
        <f t="shared" si="6"/>
        <v>1</v>
      </c>
      <c r="AG27">
        <f t="shared" si="7"/>
        <v>110</v>
      </c>
      <c r="AK27">
        <f t="shared" si="8"/>
        <v>32</v>
      </c>
    </row>
    <row r="28" spans="2:37" x14ac:dyDescent="0.15">
      <c r="B28" s="5">
        <v>2025</v>
      </c>
      <c r="C28" s="6" t="s">
        <v>32</v>
      </c>
      <c r="D28" s="5" t="s">
        <v>24</v>
      </c>
      <c r="E28" s="4" t="s">
        <v>58</v>
      </c>
      <c r="F28" s="2">
        <v>1</v>
      </c>
      <c r="G28" s="5">
        <v>150</v>
      </c>
      <c r="H28" s="5">
        <v>25</v>
      </c>
      <c r="I28" s="5">
        <v>1</v>
      </c>
      <c r="J28" s="5">
        <v>1</v>
      </c>
      <c r="K28" s="5">
        <v>1.2</v>
      </c>
      <c r="L28">
        <f t="shared" si="0"/>
        <v>25</v>
      </c>
      <c r="M28" s="2">
        <v>0</v>
      </c>
      <c r="N28" s="2">
        <v>0</v>
      </c>
      <c r="O28" s="2">
        <f t="shared" si="9"/>
        <v>250</v>
      </c>
      <c r="P28" s="2">
        <v>1.1950000000000001</v>
      </c>
      <c r="Q28" s="2">
        <v>1.1950000000000001</v>
      </c>
      <c r="R28" s="5" t="s">
        <v>121</v>
      </c>
      <c r="S28" s="5">
        <v>2</v>
      </c>
      <c r="X28" s="6">
        <v>1</v>
      </c>
      <c r="Y28" t="str">
        <f t="shared" si="2"/>
        <v>坦克</v>
      </c>
      <c r="Z28">
        <f t="shared" si="3"/>
        <v>1</v>
      </c>
      <c r="AA28">
        <f t="shared" si="4"/>
        <v>2</v>
      </c>
      <c r="AB28">
        <f t="shared" si="5"/>
        <v>1.2</v>
      </c>
      <c r="AC28">
        <f t="shared" si="6"/>
        <v>1</v>
      </c>
      <c r="AG28">
        <f t="shared" si="7"/>
        <v>150</v>
      </c>
      <c r="AK28">
        <f t="shared" si="8"/>
        <v>25</v>
      </c>
    </row>
    <row r="29" spans="2:37" x14ac:dyDescent="0.15">
      <c r="B29" s="5">
        <v>2026</v>
      </c>
      <c r="C29" s="6" t="s">
        <v>32</v>
      </c>
      <c r="D29" s="5" t="s">
        <v>27</v>
      </c>
      <c r="E29" s="4" t="s">
        <v>59</v>
      </c>
      <c r="F29" s="4">
        <v>1</v>
      </c>
      <c r="G29" s="5">
        <v>63</v>
      </c>
      <c r="H29" s="5">
        <v>29</v>
      </c>
      <c r="I29" s="5">
        <v>1</v>
      </c>
      <c r="J29" s="5">
        <v>4</v>
      </c>
      <c r="K29" s="5">
        <v>1.2</v>
      </c>
      <c r="L29">
        <f t="shared" si="0"/>
        <v>42.05</v>
      </c>
      <c r="M29" s="2">
        <v>0</v>
      </c>
      <c r="N29" s="2">
        <v>0</v>
      </c>
      <c r="O29" s="2">
        <f t="shared" si="9"/>
        <v>231.2</v>
      </c>
      <c r="P29" s="2">
        <v>1.1950000000000001</v>
      </c>
      <c r="Q29" s="2">
        <v>1.1950000000000001</v>
      </c>
      <c r="R29" s="5" t="s">
        <v>121</v>
      </c>
      <c r="S29" s="5">
        <v>1</v>
      </c>
      <c r="X29" s="6">
        <v>3</v>
      </c>
      <c r="Y29" t="str">
        <f t="shared" si="2"/>
        <v>远程</v>
      </c>
      <c r="Z29">
        <f t="shared" si="3"/>
        <v>4</v>
      </c>
      <c r="AA29">
        <f t="shared" si="4"/>
        <v>1</v>
      </c>
      <c r="AB29">
        <f t="shared" si="5"/>
        <v>1.2</v>
      </c>
      <c r="AC29">
        <f t="shared" si="6"/>
        <v>1</v>
      </c>
      <c r="AG29">
        <f t="shared" si="7"/>
        <v>63</v>
      </c>
      <c r="AK29">
        <f t="shared" si="8"/>
        <v>29</v>
      </c>
    </row>
    <row r="30" spans="2:37" x14ac:dyDescent="0.15">
      <c r="B30" s="5">
        <v>2027</v>
      </c>
      <c r="C30" s="6" t="s">
        <v>32</v>
      </c>
      <c r="D30" s="5" t="s">
        <v>26</v>
      </c>
      <c r="E30" s="4" t="s">
        <v>60</v>
      </c>
      <c r="F30" s="4">
        <v>1</v>
      </c>
      <c r="G30" s="5">
        <v>110</v>
      </c>
      <c r="H30" s="5">
        <v>32</v>
      </c>
      <c r="I30" s="5">
        <v>1</v>
      </c>
      <c r="J30" s="5">
        <v>1</v>
      </c>
      <c r="K30" s="5">
        <v>1.2</v>
      </c>
      <c r="L30">
        <f t="shared" si="0"/>
        <v>32</v>
      </c>
      <c r="M30" s="2">
        <v>0</v>
      </c>
      <c r="N30" s="2">
        <v>0</v>
      </c>
      <c r="O30" s="2">
        <f t="shared" si="9"/>
        <v>238</v>
      </c>
      <c r="P30" s="2">
        <v>1.1950000000000001</v>
      </c>
      <c r="Q30" s="2">
        <v>1.1950000000000001</v>
      </c>
      <c r="R30" s="5" t="s">
        <v>121</v>
      </c>
      <c r="S30" s="5">
        <v>1</v>
      </c>
      <c r="X30" s="6">
        <v>2</v>
      </c>
      <c r="Y30" t="str">
        <f t="shared" si="2"/>
        <v>近战</v>
      </c>
      <c r="Z30">
        <f t="shared" si="3"/>
        <v>1</v>
      </c>
      <c r="AA30">
        <f t="shared" si="4"/>
        <v>1</v>
      </c>
      <c r="AB30">
        <f t="shared" si="5"/>
        <v>1.2</v>
      </c>
      <c r="AC30">
        <f t="shared" si="6"/>
        <v>1</v>
      </c>
      <c r="AG30">
        <f t="shared" si="7"/>
        <v>110</v>
      </c>
      <c r="AK30">
        <f t="shared" si="8"/>
        <v>32</v>
      </c>
    </row>
    <row r="31" spans="2:37" x14ac:dyDescent="0.15">
      <c r="B31" s="5">
        <v>2028</v>
      </c>
      <c r="C31" s="6" t="s">
        <v>32</v>
      </c>
      <c r="D31" s="5" t="s">
        <v>33</v>
      </c>
      <c r="E31" s="4" t="s">
        <v>61</v>
      </c>
      <c r="F31" s="4">
        <v>1</v>
      </c>
      <c r="G31" s="5">
        <v>82</v>
      </c>
      <c r="H31" s="5">
        <v>20</v>
      </c>
      <c r="I31" s="5">
        <v>2</v>
      </c>
      <c r="J31" s="5">
        <v>1</v>
      </c>
      <c r="K31" s="5">
        <v>2.5</v>
      </c>
      <c r="L31">
        <f t="shared" si="0"/>
        <v>40</v>
      </c>
      <c r="M31" s="2">
        <v>0</v>
      </c>
      <c r="N31" s="2">
        <v>0</v>
      </c>
      <c r="O31" s="2">
        <f t="shared" si="9"/>
        <v>242</v>
      </c>
      <c r="P31" s="2">
        <v>1.1950000000000001</v>
      </c>
      <c r="Q31" s="2">
        <v>1.1950000000000001</v>
      </c>
      <c r="R31" s="5" t="s">
        <v>121</v>
      </c>
      <c r="S31" s="5">
        <v>1</v>
      </c>
      <c r="X31" s="6">
        <v>4</v>
      </c>
      <c r="Y31" t="str">
        <f t="shared" si="2"/>
        <v>刺客</v>
      </c>
      <c r="Z31">
        <f t="shared" si="3"/>
        <v>1</v>
      </c>
      <c r="AA31">
        <f t="shared" si="4"/>
        <v>1</v>
      </c>
      <c r="AB31">
        <f t="shared" si="5"/>
        <v>2.5</v>
      </c>
      <c r="AC31">
        <f t="shared" si="6"/>
        <v>2</v>
      </c>
      <c r="AG31">
        <f t="shared" si="7"/>
        <v>82</v>
      </c>
      <c r="AK31">
        <f t="shared" si="8"/>
        <v>20</v>
      </c>
    </row>
    <row r="32" spans="2:37" x14ac:dyDescent="0.15">
      <c r="B32" s="5">
        <v>2029</v>
      </c>
      <c r="C32" s="6" t="s">
        <v>31</v>
      </c>
      <c r="D32" s="5" t="s">
        <v>26</v>
      </c>
      <c r="E32" s="4" t="s">
        <v>62</v>
      </c>
      <c r="F32" s="4">
        <v>1</v>
      </c>
      <c r="G32" s="5">
        <v>143</v>
      </c>
      <c r="H32" s="5">
        <v>35.75</v>
      </c>
      <c r="I32" s="5">
        <v>1</v>
      </c>
      <c r="J32" s="5">
        <v>1</v>
      </c>
      <c r="K32" s="5">
        <v>1.2</v>
      </c>
      <c r="L32">
        <f t="shared" si="0"/>
        <v>35.75</v>
      </c>
      <c r="M32" s="2">
        <v>0</v>
      </c>
      <c r="N32" s="2">
        <v>0</v>
      </c>
      <c r="O32" s="2">
        <f t="shared" si="9"/>
        <v>286</v>
      </c>
      <c r="P32" s="2">
        <v>1.1950000000000001</v>
      </c>
      <c r="Q32" s="2">
        <v>1.1950000000000001</v>
      </c>
      <c r="R32" s="5" t="s">
        <v>121</v>
      </c>
      <c r="S32" s="5">
        <v>1</v>
      </c>
      <c r="X32" s="6">
        <v>2</v>
      </c>
      <c r="Y32" t="str">
        <f t="shared" si="2"/>
        <v>近战</v>
      </c>
      <c r="Z32">
        <f t="shared" si="3"/>
        <v>1</v>
      </c>
      <c r="AA32">
        <f t="shared" si="4"/>
        <v>1</v>
      </c>
      <c r="AB32">
        <f t="shared" si="5"/>
        <v>1.2</v>
      </c>
      <c r="AC32">
        <f t="shared" si="6"/>
        <v>1</v>
      </c>
      <c r="AG32">
        <f t="shared" si="7"/>
        <v>143</v>
      </c>
      <c r="AK32">
        <f t="shared" si="8"/>
        <v>35.75</v>
      </c>
    </row>
    <row r="33" spans="2:37" x14ac:dyDescent="0.15">
      <c r="B33" s="5">
        <v>2030</v>
      </c>
      <c r="C33" s="6" t="s">
        <v>31</v>
      </c>
      <c r="D33" s="5" t="s">
        <v>26</v>
      </c>
      <c r="E33" s="4" t="s">
        <v>63</v>
      </c>
      <c r="F33" s="2">
        <v>1</v>
      </c>
      <c r="G33" s="5">
        <v>143</v>
      </c>
      <c r="H33" s="5">
        <v>35.75</v>
      </c>
      <c r="I33" s="5">
        <v>1</v>
      </c>
      <c r="J33" s="5">
        <v>1</v>
      </c>
      <c r="K33" s="5">
        <v>1.2</v>
      </c>
      <c r="L33">
        <f t="shared" si="0"/>
        <v>35.75</v>
      </c>
      <c r="M33" s="4">
        <v>0</v>
      </c>
      <c r="N33" s="4">
        <v>0</v>
      </c>
      <c r="O33" s="4">
        <f t="shared" si="9"/>
        <v>286</v>
      </c>
      <c r="P33" s="2">
        <v>1.1950000000000001</v>
      </c>
      <c r="Q33" s="2">
        <v>1.1950000000000001</v>
      </c>
      <c r="R33" s="5" t="s">
        <v>121</v>
      </c>
      <c r="S33" s="5">
        <v>1</v>
      </c>
      <c r="X33" s="6">
        <v>2</v>
      </c>
      <c r="Y33" t="str">
        <f t="shared" si="2"/>
        <v>近战</v>
      </c>
      <c r="Z33">
        <f t="shared" si="3"/>
        <v>1</v>
      </c>
      <c r="AA33">
        <f t="shared" si="4"/>
        <v>1</v>
      </c>
      <c r="AB33">
        <f t="shared" si="5"/>
        <v>1.2</v>
      </c>
      <c r="AC33">
        <f t="shared" si="6"/>
        <v>1</v>
      </c>
      <c r="AG33">
        <f t="shared" si="7"/>
        <v>143</v>
      </c>
      <c r="AK33">
        <f t="shared" si="8"/>
        <v>35.75</v>
      </c>
    </row>
    <row r="34" spans="2:37" x14ac:dyDescent="0.15">
      <c r="B34" s="5">
        <v>2031</v>
      </c>
      <c r="C34" s="6" t="s">
        <v>31</v>
      </c>
      <c r="D34" s="5" t="s">
        <v>24</v>
      </c>
      <c r="E34" s="4" t="s">
        <v>64</v>
      </c>
      <c r="F34" s="2">
        <v>1</v>
      </c>
      <c r="G34" s="5">
        <v>195</v>
      </c>
      <c r="H34" s="5">
        <v>32.5</v>
      </c>
      <c r="I34" s="5">
        <v>1</v>
      </c>
      <c r="J34" s="5">
        <v>1</v>
      </c>
      <c r="K34" s="5">
        <v>1.2</v>
      </c>
      <c r="L34">
        <f t="shared" si="0"/>
        <v>32.5</v>
      </c>
      <c r="M34" s="4">
        <v>0</v>
      </c>
      <c r="N34" s="4">
        <v>0</v>
      </c>
      <c r="O34" s="4">
        <f t="shared" si="9"/>
        <v>325</v>
      </c>
      <c r="P34" s="2">
        <v>1.1950000000000001</v>
      </c>
      <c r="Q34" s="2">
        <v>1.1950000000000001</v>
      </c>
      <c r="R34" s="5" t="s">
        <v>121</v>
      </c>
      <c r="S34" s="5">
        <v>2</v>
      </c>
      <c r="X34" s="6">
        <v>1</v>
      </c>
      <c r="Y34" t="str">
        <f t="shared" si="2"/>
        <v>坦克</v>
      </c>
      <c r="Z34">
        <f t="shared" si="3"/>
        <v>1</v>
      </c>
      <c r="AA34">
        <f t="shared" si="4"/>
        <v>2</v>
      </c>
      <c r="AB34">
        <f t="shared" si="5"/>
        <v>1.2</v>
      </c>
      <c r="AC34">
        <f t="shared" si="6"/>
        <v>1</v>
      </c>
      <c r="AG34">
        <f t="shared" si="7"/>
        <v>195</v>
      </c>
      <c r="AK34">
        <f t="shared" si="8"/>
        <v>32.5</v>
      </c>
    </row>
    <row r="35" spans="2:37" x14ac:dyDescent="0.15">
      <c r="B35" s="5">
        <v>2032</v>
      </c>
      <c r="C35" s="6" t="s">
        <v>31</v>
      </c>
      <c r="D35" s="5" t="s">
        <v>27</v>
      </c>
      <c r="E35" s="4" t="s">
        <v>65</v>
      </c>
      <c r="F35" s="2">
        <v>1</v>
      </c>
      <c r="G35" s="5">
        <v>82</v>
      </c>
      <c r="H35" s="5">
        <v>37.700000000000003</v>
      </c>
      <c r="I35" s="5">
        <v>1</v>
      </c>
      <c r="J35" s="5">
        <v>4</v>
      </c>
      <c r="K35" s="5">
        <v>1.2</v>
      </c>
      <c r="L35">
        <f t="shared" si="0"/>
        <v>54.664999999999999</v>
      </c>
      <c r="M35" s="4">
        <v>0</v>
      </c>
      <c r="N35" s="4">
        <v>0</v>
      </c>
      <c r="O35" s="4">
        <f t="shared" si="9"/>
        <v>300.65999999999997</v>
      </c>
      <c r="P35" s="2">
        <v>1.1950000000000001</v>
      </c>
      <c r="Q35" s="2">
        <v>1.1950000000000001</v>
      </c>
      <c r="R35" s="5" t="s">
        <v>121</v>
      </c>
      <c r="S35" s="5">
        <v>1</v>
      </c>
      <c r="X35" s="6">
        <v>3</v>
      </c>
      <c r="Y35" t="str">
        <f t="shared" si="2"/>
        <v>远程</v>
      </c>
      <c r="Z35">
        <f t="shared" si="3"/>
        <v>4</v>
      </c>
      <c r="AA35">
        <f t="shared" si="4"/>
        <v>1</v>
      </c>
      <c r="AB35">
        <f t="shared" si="5"/>
        <v>1.2</v>
      </c>
      <c r="AC35">
        <f t="shared" si="6"/>
        <v>1</v>
      </c>
      <c r="AG35">
        <f t="shared" si="7"/>
        <v>82</v>
      </c>
      <c r="AK35">
        <f t="shared" si="8"/>
        <v>37.700000000000003</v>
      </c>
    </row>
    <row r="36" spans="2:37" x14ac:dyDescent="0.15">
      <c r="B36" s="5">
        <v>2033</v>
      </c>
      <c r="C36" s="6" t="s">
        <v>31</v>
      </c>
      <c r="D36" s="5" t="s">
        <v>26</v>
      </c>
      <c r="E36" s="4" t="s">
        <v>66</v>
      </c>
      <c r="F36" s="4">
        <v>1</v>
      </c>
      <c r="G36" s="5">
        <v>143</v>
      </c>
      <c r="H36" s="5">
        <v>35.75</v>
      </c>
      <c r="I36" s="5">
        <v>1</v>
      </c>
      <c r="J36" s="5">
        <v>1</v>
      </c>
      <c r="K36" s="5">
        <v>1.2</v>
      </c>
      <c r="L36">
        <f t="shared" si="0"/>
        <v>35.75</v>
      </c>
      <c r="M36" s="2">
        <v>0</v>
      </c>
      <c r="N36" s="2">
        <v>0</v>
      </c>
      <c r="O36" s="2">
        <f t="shared" si="9"/>
        <v>286</v>
      </c>
      <c r="P36" s="2">
        <v>1.1950000000000001</v>
      </c>
      <c r="Q36" s="2">
        <v>1.1950000000000001</v>
      </c>
      <c r="R36" s="5" t="s">
        <v>121</v>
      </c>
      <c r="S36" s="5">
        <v>1</v>
      </c>
      <c r="X36" s="6">
        <v>2</v>
      </c>
      <c r="Y36" t="str">
        <f t="shared" si="2"/>
        <v>近战</v>
      </c>
      <c r="Z36">
        <f t="shared" si="3"/>
        <v>1</v>
      </c>
      <c r="AA36">
        <f t="shared" si="4"/>
        <v>1</v>
      </c>
      <c r="AB36">
        <f t="shared" si="5"/>
        <v>1.2</v>
      </c>
      <c r="AC36">
        <f t="shared" si="6"/>
        <v>1</v>
      </c>
      <c r="AG36">
        <f t="shared" si="7"/>
        <v>143</v>
      </c>
      <c r="AK36">
        <f t="shared" si="8"/>
        <v>35.75</v>
      </c>
    </row>
    <row r="37" spans="2:37" x14ac:dyDescent="0.15">
      <c r="B37" s="5">
        <v>2034</v>
      </c>
      <c r="C37" s="6" t="s">
        <v>31</v>
      </c>
      <c r="D37" s="5" t="s">
        <v>33</v>
      </c>
      <c r="E37" s="4" t="s">
        <v>67</v>
      </c>
      <c r="F37" s="4">
        <v>1</v>
      </c>
      <c r="G37" s="5">
        <v>106</v>
      </c>
      <c r="H37" s="5">
        <v>26</v>
      </c>
      <c r="I37" s="5">
        <v>2</v>
      </c>
      <c r="J37" s="5">
        <v>1</v>
      </c>
      <c r="K37" s="5">
        <v>2.5</v>
      </c>
      <c r="L37">
        <f t="shared" si="0"/>
        <v>52</v>
      </c>
      <c r="M37" s="2">
        <v>0</v>
      </c>
      <c r="N37" s="2">
        <v>0</v>
      </c>
      <c r="O37" s="2">
        <f t="shared" si="9"/>
        <v>314</v>
      </c>
      <c r="P37" s="2">
        <v>1.1950000000000001</v>
      </c>
      <c r="Q37" s="2">
        <v>1.1950000000000001</v>
      </c>
      <c r="R37" s="5" t="s">
        <v>121</v>
      </c>
      <c r="S37" s="5">
        <v>1</v>
      </c>
      <c r="X37" s="6">
        <v>4</v>
      </c>
      <c r="Y37" t="str">
        <f t="shared" si="2"/>
        <v>刺客</v>
      </c>
      <c r="Z37">
        <f t="shared" si="3"/>
        <v>1</v>
      </c>
      <c r="AA37">
        <f t="shared" si="4"/>
        <v>1</v>
      </c>
      <c r="AB37">
        <f t="shared" si="5"/>
        <v>2.5</v>
      </c>
      <c r="AC37">
        <f t="shared" si="6"/>
        <v>2</v>
      </c>
      <c r="AG37">
        <f t="shared" si="7"/>
        <v>106</v>
      </c>
      <c r="AK37">
        <f t="shared" si="8"/>
        <v>26</v>
      </c>
    </row>
    <row r="38" spans="2:37" x14ac:dyDescent="0.15">
      <c r="B38" s="5">
        <v>2035</v>
      </c>
      <c r="C38" s="6" t="s">
        <v>32</v>
      </c>
      <c r="D38" s="5" t="s">
        <v>26</v>
      </c>
      <c r="E38" s="4" t="s">
        <v>68</v>
      </c>
      <c r="F38" s="4">
        <v>1</v>
      </c>
      <c r="G38" s="5">
        <v>110</v>
      </c>
      <c r="H38" s="5">
        <v>32</v>
      </c>
      <c r="I38" s="5">
        <v>1</v>
      </c>
      <c r="J38" s="5">
        <v>1</v>
      </c>
      <c r="K38" s="5">
        <v>1.2</v>
      </c>
      <c r="L38">
        <f t="shared" si="0"/>
        <v>32</v>
      </c>
      <c r="M38" s="2">
        <v>0</v>
      </c>
      <c r="N38" s="2">
        <v>0</v>
      </c>
      <c r="O38" s="2">
        <f t="shared" si="9"/>
        <v>238</v>
      </c>
      <c r="P38" s="2">
        <v>1.1950000000000001</v>
      </c>
      <c r="Q38" s="2">
        <v>1.1950000000000001</v>
      </c>
      <c r="R38" s="5" t="s">
        <v>121</v>
      </c>
      <c r="S38" s="5">
        <v>1</v>
      </c>
      <c r="X38" s="6">
        <v>2</v>
      </c>
      <c r="Y38" t="str">
        <f t="shared" si="2"/>
        <v>近战</v>
      </c>
      <c r="Z38">
        <f t="shared" si="3"/>
        <v>1</v>
      </c>
      <c r="AA38">
        <f t="shared" si="4"/>
        <v>1</v>
      </c>
      <c r="AB38">
        <f t="shared" si="5"/>
        <v>1.2</v>
      </c>
      <c r="AC38">
        <f t="shared" si="6"/>
        <v>1</v>
      </c>
      <c r="AG38">
        <f t="shared" si="7"/>
        <v>110</v>
      </c>
      <c r="AK38">
        <f t="shared" si="8"/>
        <v>32</v>
      </c>
    </row>
    <row r="39" spans="2:37" x14ac:dyDescent="0.15">
      <c r="B39" s="5">
        <v>2036</v>
      </c>
      <c r="C39" s="6" t="s">
        <v>32</v>
      </c>
      <c r="D39" s="5" t="s">
        <v>24</v>
      </c>
      <c r="E39" s="4" t="s">
        <v>69</v>
      </c>
      <c r="F39" s="4">
        <v>1</v>
      </c>
      <c r="G39" s="5">
        <v>150</v>
      </c>
      <c r="H39" s="5">
        <v>25</v>
      </c>
      <c r="I39" s="5">
        <v>1</v>
      </c>
      <c r="J39" s="5">
        <v>1</v>
      </c>
      <c r="K39" s="5">
        <v>1.2</v>
      </c>
      <c r="L39">
        <f t="shared" si="0"/>
        <v>25</v>
      </c>
      <c r="M39" s="2">
        <v>0</v>
      </c>
      <c r="N39" s="2">
        <v>0</v>
      </c>
      <c r="O39" s="2">
        <f t="shared" si="9"/>
        <v>250</v>
      </c>
      <c r="P39" s="2">
        <v>1.1950000000000001</v>
      </c>
      <c r="Q39" s="2">
        <v>1.1950000000000001</v>
      </c>
      <c r="R39" s="5" t="s">
        <v>121</v>
      </c>
      <c r="S39" s="5">
        <v>2</v>
      </c>
      <c r="X39" s="6">
        <v>1</v>
      </c>
      <c r="Y39" t="str">
        <f t="shared" si="2"/>
        <v>坦克</v>
      </c>
      <c r="Z39">
        <f t="shared" si="3"/>
        <v>1</v>
      </c>
      <c r="AA39">
        <f t="shared" si="4"/>
        <v>2</v>
      </c>
      <c r="AB39">
        <f t="shared" si="5"/>
        <v>1.2</v>
      </c>
      <c r="AC39">
        <f t="shared" si="6"/>
        <v>1</v>
      </c>
      <c r="AG39">
        <f t="shared" si="7"/>
        <v>150</v>
      </c>
      <c r="AK39">
        <f t="shared" si="8"/>
        <v>25</v>
      </c>
    </row>
    <row r="40" spans="2:37" x14ac:dyDescent="0.15">
      <c r="B40" s="5">
        <v>2037</v>
      </c>
      <c r="C40" s="6" t="s">
        <v>32</v>
      </c>
      <c r="D40" s="5" t="s">
        <v>33</v>
      </c>
      <c r="E40" s="4" t="s">
        <v>70</v>
      </c>
      <c r="F40" s="2">
        <v>1</v>
      </c>
      <c r="G40" s="5">
        <v>82</v>
      </c>
      <c r="H40" s="5">
        <v>20</v>
      </c>
      <c r="I40" s="5">
        <v>2</v>
      </c>
      <c r="J40" s="5">
        <v>1</v>
      </c>
      <c r="K40" s="5">
        <v>2.5</v>
      </c>
      <c r="L40">
        <f t="shared" si="0"/>
        <v>40</v>
      </c>
      <c r="M40" s="2">
        <v>0</v>
      </c>
      <c r="N40" s="2">
        <v>0</v>
      </c>
      <c r="O40" s="2">
        <f t="shared" si="9"/>
        <v>242</v>
      </c>
      <c r="P40" s="2">
        <v>1.1950000000000001</v>
      </c>
      <c r="Q40" s="2">
        <v>1.1950000000000001</v>
      </c>
      <c r="R40" s="5" t="s">
        <v>121</v>
      </c>
      <c r="S40" s="5">
        <v>1</v>
      </c>
      <c r="X40" s="6">
        <v>4</v>
      </c>
      <c r="Y40" t="str">
        <f t="shared" si="2"/>
        <v>刺客</v>
      </c>
      <c r="Z40">
        <f t="shared" si="3"/>
        <v>1</v>
      </c>
      <c r="AA40">
        <f t="shared" si="4"/>
        <v>1</v>
      </c>
      <c r="AB40">
        <f t="shared" si="5"/>
        <v>2.5</v>
      </c>
      <c r="AC40">
        <f t="shared" si="6"/>
        <v>2</v>
      </c>
      <c r="AG40">
        <f t="shared" si="7"/>
        <v>82</v>
      </c>
      <c r="AK40">
        <f t="shared" si="8"/>
        <v>20</v>
      </c>
    </row>
    <row r="41" spans="2:37" x14ac:dyDescent="0.15">
      <c r="B41" s="5">
        <v>2038</v>
      </c>
      <c r="C41" s="6" t="s">
        <v>32</v>
      </c>
      <c r="D41" s="5" t="s">
        <v>27</v>
      </c>
      <c r="E41" s="4" t="s">
        <v>71</v>
      </c>
      <c r="F41" s="2">
        <v>1</v>
      </c>
      <c r="G41" s="5">
        <v>63</v>
      </c>
      <c r="H41" s="5">
        <v>29</v>
      </c>
      <c r="I41" s="5">
        <v>1</v>
      </c>
      <c r="J41" s="5">
        <v>4</v>
      </c>
      <c r="K41" s="5">
        <v>1.2</v>
      </c>
      <c r="L41">
        <f t="shared" si="0"/>
        <v>42.05</v>
      </c>
      <c r="M41" s="4">
        <v>0</v>
      </c>
      <c r="N41" s="4">
        <v>0</v>
      </c>
      <c r="O41" s="4">
        <f t="shared" si="9"/>
        <v>231.2</v>
      </c>
      <c r="P41" s="2">
        <v>1.1950000000000001</v>
      </c>
      <c r="Q41" s="2">
        <v>1.1950000000000001</v>
      </c>
      <c r="R41" s="5" t="s">
        <v>121</v>
      </c>
      <c r="S41" s="5">
        <v>1</v>
      </c>
      <c r="X41" s="6">
        <v>3</v>
      </c>
      <c r="Y41" t="str">
        <f t="shared" si="2"/>
        <v>远程</v>
      </c>
      <c r="Z41">
        <f t="shared" si="3"/>
        <v>4</v>
      </c>
      <c r="AA41">
        <f t="shared" si="4"/>
        <v>1</v>
      </c>
      <c r="AB41">
        <f t="shared" si="5"/>
        <v>1.2</v>
      </c>
      <c r="AC41">
        <f t="shared" si="6"/>
        <v>1</v>
      </c>
      <c r="AG41">
        <f t="shared" si="7"/>
        <v>63</v>
      </c>
      <c r="AK41">
        <f t="shared" si="8"/>
        <v>29</v>
      </c>
    </row>
    <row r="42" spans="2:37" x14ac:dyDescent="0.15">
      <c r="B42" s="5">
        <v>2039</v>
      </c>
      <c r="C42" s="6" t="s">
        <v>32</v>
      </c>
      <c r="D42" s="5" t="s">
        <v>24</v>
      </c>
      <c r="E42" s="4" t="s">
        <v>72</v>
      </c>
      <c r="F42" s="2">
        <v>1</v>
      </c>
      <c r="G42" s="5">
        <v>150</v>
      </c>
      <c r="H42" s="5">
        <v>25</v>
      </c>
      <c r="I42" s="5">
        <v>1</v>
      </c>
      <c r="J42" s="5">
        <v>1</v>
      </c>
      <c r="K42" s="5">
        <v>1.2</v>
      </c>
      <c r="L42">
        <f t="shared" si="0"/>
        <v>25</v>
      </c>
      <c r="M42" s="4">
        <v>0</v>
      </c>
      <c r="N42" s="4">
        <v>0</v>
      </c>
      <c r="O42" s="4">
        <f t="shared" si="9"/>
        <v>250</v>
      </c>
      <c r="P42" s="2">
        <v>1.1950000000000001</v>
      </c>
      <c r="Q42" s="2">
        <v>1.1950000000000001</v>
      </c>
      <c r="R42" s="5" t="s">
        <v>121</v>
      </c>
      <c r="S42" s="5">
        <v>2</v>
      </c>
      <c r="X42" s="6">
        <v>1</v>
      </c>
      <c r="Y42" t="str">
        <f t="shared" si="2"/>
        <v>坦克</v>
      </c>
      <c r="Z42">
        <f t="shared" si="3"/>
        <v>1</v>
      </c>
      <c r="AA42">
        <f t="shared" si="4"/>
        <v>2</v>
      </c>
      <c r="AB42">
        <f t="shared" si="5"/>
        <v>1.2</v>
      </c>
      <c r="AC42">
        <f t="shared" si="6"/>
        <v>1</v>
      </c>
      <c r="AG42">
        <f t="shared" si="7"/>
        <v>150</v>
      </c>
      <c r="AK42">
        <f t="shared" si="8"/>
        <v>25</v>
      </c>
    </row>
    <row r="43" spans="2:37" x14ac:dyDescent="0.15">
      <c r="B43" s="5">
        <v>2040</v>
      </c>
      <c r="C43" s="6" t="s">
        <v>32</v>
      </c>
      <c r="D43" s="5" t="s">
        <v>27</v>
      </c>
      <c r="E43" s="4" t="s">
        <v>73</v>
      </c>
      <c r="F43" s="4">
        <v>1</v>
      </c>
      <c r="G43" s="5">
        <v>63</v>
      </c>
      <c r="H43" s="5">
        <v>29</v>
      </c>
      <c r="I43" s="5">
        <v>1</v>
      </c>
      <c r="J43" s="5">
        <v>4</v>
      </c>
      <c r="K43" s="5">
        <v>1.2</v>
      </c>
      <c r="L43">
        <f t="shared" si="0"/>
        <v>42.05</v>
      </c>
      <c r="M43" s="4">
        <v>0</v>
      </c>
      <c r="N43" s="4">
        <v>0</v>
      </c>
      <c r="O43" s="4">
        <f t="shared" si="9"/>
        <v>231.2</v>
      </c>
      <c r="P43" s="2">
        <v>1.1950000000000001</v>
      </c>
      <c r="Q43" s="2">
        <v>1.1950000000000001</v>
      </c>
      <c r="R43" s="5" t="s">
        <v>121</v>
      </c>
      <c r="S43" s="5">
        <v>1</v>
      </c>
      <c r="X43" s="6">
        <v>3</v>
      </c>
      <c r="Y43" t="str">
        <f t="shared" si="2"/>
        <v>远程</v>
      </c>
      <c r="Z43">
        <f t="shared" si="3"/>
        <v>4</v>
      </c>
      <c r="AA43">
        <f t="shared" si="4"/>
        <v>1</v>
      </c>
      <c r="AB43">
        <f t="shared" si="5"/>
        <v>1.2</v>
      </c>
      <c r="AC43">
        <f t="shared" si="6"/>
        <v>1</v>
      </c>
      <c r="AG43">
        <f t="shared" si="7"/>
        <v>63</v>
      </c>
      <c r="AK43">
        <f t="shared" si="8"/>
        <v>29</v>
      </c>
    </row>
    <row r="44" spans="2:37" x14ac:dyDescent="0.15">
      <c r="B44" s="5">
        <v>2041</v>
      </c>
      <c r="C44" s="6" t="s">
        <v>31</v>
      </c>
      <c r="D44" s="5" t="s">
        <v>26</v>
      </c>
      <c r="E44" s="4" t="s">
        <v>74</v>
      </c>
      <c r="F44" s="4">
        <v>1</v>
      </c>
      <c r="G44" s="5">
        <v>143</v>
      </c>
      <c r="H44" s="5">
        <v>35.75</v>
      </c>
      <c r="I44" s="5">
        <v>1</v>
      </c>
      <c r="J44" s="5">
        <v>1</v>
      </c>
      <c r="K44" s="5">
        <v>1.2</v>
      </c>
      <c r="L44">
        <f t="shared" si="0"/>
        <v>35.75</v>
      </c>
      <c r="M44" s="2">
        <v>0</v>
      </c>
      <c r="N44" s="2">
        <v>0</v>
      </c>
      <c r="O44" s="2">
        <f t="shared" si="9"/>
        <v>286</v>
      </c>
      <c r="P44" s="2">
        <v>1.1950000000000001</v>
      </c>
      <c r="Q44" s="2">
        <v>1.1950000000000001</v>
      </c>
      <c r="R44" s="5" t="s">
        <v>121</v>
      </c>
      <c r="S44" s="5">
        <v>1</v>
      </c>
      <c r="X44" s="6">
        <v>2</v>
      </c>
      <c r="Y44" t="str">
        <f t="shared" si="2"/>
        <v>近战</v>
      </c>
      <c r="Z44">
        <f t="shared" si="3"/>
        <v>1</v>
      </c>
      <c r="AA44">
        <f t="shared" si="4"/>
        <v>1</v>
      </c>
      <c r="AB44">
        <f t="shared" si="5"/>
        <v>1.2</v>
      </c>
      <c r="AC44">
        <f t="shared" si="6"/>
        <v>1</v>
      </c>
      <c r="AG44">
        <f t="shared" si="7"/>
        <v>143</v>
      </c>
      <c r="AK44">
        <f t="shared" si="8"/>
        <v>35.75</v>
      </c>
    </row>
    <row r="45" spans="2:37" x14ac:dyDescent="0.15">
      <c r="B45" s="5">
        <v>2042</v>
      </c>
      <c r="C45" s="6" t="s">
        <v>31</v>
      </c>
      <c r="D45" s="5" t="s">
        <v>24</v>
      </c>
      <c r="E45" s="4" t="s">
        <v>75</v>
      </c>
      <c r="F45" s="4">
        <v>1</v>
      </c>
      <c r="G45" s="5">
        <v>195</v>
      </c>
      <c r="H45" s="5">
        <v>32.5</v>
      </c>
      <c r="I45" s="5">
        <v>1</v>
      </c>
      <c r="J45" s="5">
        <v>1</v>
      </c>
      <c r="K45" s="5">
        <v>1.2</v>
      </c>
      <c r="L45">
        <f t="shared" si="0"/>
        <v>32.5</v>
      </c>
      <c r="M45" s="2">
        <v>0</v>
      </c>
      <c r="N45" s="2">
        <v>0</v>
      </c>
      <c r="O45" s="2">
        <f t="shared" si="9"/>
        <v>325</v>
      </c>
      <c r="P45" s="2">
        <v>1.1950000000000001</v>
      </c>
      <c r="Q45" s="2">
        <v>1.1950000000000001</v>
      </c>
      <c r="R45" s="5" t="s">
        <v>121</v>
      </c>
      <c r="S45" s="5">
        <v>2</v>
      </c>
      <c r="X45" s="6">
        <v>1</v>
      </c>
      <c r="Y45" t="str">
        <f t="shared" si="2"/>
        <v>坦克</v>
      </c>
      <c r="Z45">
        <f t="shared" si="3"/>
        <v>1</v>
      </c>
      <c r="AA45">
        <f t="shared" si="4"/>
        <v>2</v>
      </c>
      <c r="AB45">
        <f t="shared" si="5"/>
        <v>1.2</v>
      </c>
      <c r="AC45">
        <f t="shared" si="6"/>
        <v>1</v>
      </c>
      <c r="AG45">
        <f t="shared" si="7"/>
        <v>195</v>
      </c>
      <c r="AK45">
        <f t="shared" si="8"/>
        <v>32.5</v>
      </c>
    </row>
    <row r="46" spans="2:37" x14ac:dyDescent="0.15">
      <c r="B46" s="5">
        <v>2043</v>
      </c>
      <c r="C46" s="6" t="s">
        <v>31</v>
      </c>
      <c r="D46" s="5" t="s">
        <v>33</v>
      </c>
      <c r="E46" s="4" t="s">
        <v>76</v>
      </c>
      <c r="F46" s="4">
        <v>1</v>
      </c>
      <c r="G46" s="5">
        <v>106</v>
      </c>
      <c r="H46" s="5">
        <v>26</v>
      </c>
      <c r="I46" s="5">
        <v>2</v>
      </c>
      <c r="J46" s="5">
        <v>1</v>
      </c>
      <c r="K46" s="5">
        <v>2.5</v>
      </c>
      <c r="L46">
        <f t="shared" si="0"/>
        <v>52</v>
      </c>
      <c r="M46" s="2">
        <v>0</v>
      </c>
      <c r="N46" s="2">
        <v>0</v>
      </c>
      <c r="O46" s="2">
        <f t="shared" si="9"/>
        <v>314</v>
      </c>
      <c r="P46" s="2">
        <v>1.1950000000000001</v>
      </c>
      <c r="Q46" s="2">
        <v>1.1950000000000001</v>
      </c>
      <c r="R46" s="5" t="s">
        <v>121</v>
      </c>
      <c r="S46" s="5">
        <v>1</v>
      </c>
      <c r="X46" s="6">
        <v>4</v>
      </c>
      <c r="Y46" t="str">
        <f t="shared" si="2"/>
        <v>刺客</v>
      </c>
      <c r="Z46">
        <f t="shared" si="3"/>
        <v>1</v>
      </c>
      <c r="AA46">
        <f t="shared" si="4"/>
        <v>1</v>
      </c>
      <c r="AB46">
        <f t="shared" si="5"/>
        <v>2.5</v>
      </c>
      <c r="AC46">
        <f t="shared" si="6"/>
        <v>2</v>
      </c>
      <c r="AG46">
        <f t="shared" si="7"/>
        <v>106</v>
      </c>
      <c r="AK46">
        <f t="shared" si="8"/>
        <v>26</v>
      </c>
    </row>
    <row r="47" spans="2:37" x14ac:dyDescent="0.15">
      <c r="B47" s="5">
        <v>2044</v>
      </c>
      <c r="C47" s="6" t="s">
        <v>31</v>
      </c>
      <c r="D47" s="5" t="s">
        <v>27</v>
      </c>
      <c r="E47" s="4" t="s">
        <v>77</v>
      </c>
      <c r="F47" s="2">
        <v>1</v>
      </c>
      <c r="G47" s="5">
        <v>82</v>
      </c>
      <c r="H47" s="5">
        <v>37.700000000000003</v>
      </c>
      <c r="I47" s="5">
        <v>1</v>
      </c>
      <c r="J47" s="5">
        <v>4</v>
      </c>
      <c r="K47" s="5">
        <v>1.2</v>
      </c>
      <c r="L47">
        <f t="shared" si="0"/>
        <v>54.664999999999999</v>
      </c>
      <c r="M47" s="2">
        <v>0</v>
      </c>
      <c r="N47" s="2">
        <v>0</v>
      </c>
      <c r="O47" s="2">
        <f t="shared" si="9"/>
        <v>300.65999999999997</v>
      </c>
      <c r="P47" s="2">
        <v>1.1950000000000001</v>
      </c>
      <c r="Q47" s="2">
        <v>1.1950000000000001</v>
      </c>
      <c r="R47" s="5" t="s">
        <v>121</v>
      </c>
      <c r="S47" s="5">
        <v>1</v>
      </c>
      <c r="X47" s="6">
        <v>3</v>
      </c>
      <c r="Y47" t="str">
        <f t="shared" si="2"/>
        <v>远程</v>
      </c>
      <c r="Z47">
        <f t="shared" si="3"/>
        <v>4</v>
      </c>
      <c r="AA47">
        <f t="shared" si="4"/>
        <v>1</v>
      </c>
      <c r="AB47">
        <f t="shared" si="5"/>
        <v>1.2</v>
      </c>
      <c r="AC47">
        <f t="shared" si="6"/>
        <v>1</v>
      </c>
      <c r="AG47">
        <f t="shared" si="7"/>
        <v>82</v>
      </c>
      <c r="AK47">
        <f t="shared" si="8"/>
        <v>37.700000000000003</v>
      </c>
    </row>
    <row r="48" spans="2:37" x14ac:dyDescent="0.15">
      <c r="B48" s="5">
        <v>2045</v>
      </c>
      <c r="C48" s="6" t="s">
        <v>31</v>
      </c>
      <c r="D48" s="5" t="s">
        <v>24</v>
      </c>
      <c r="E48" s="4" t="s">
        <v>78</v>
      </c>
      <c r="F48" s="2">
        <v>1</v>
      </c>
      <c r="G48" s="5">
        <v>195</v>
      </c>
      <c r="H48" s="5">
        <v>32.5</v>
      </c>
      <c r="I48" s="5">
        <v>1</v>
      </c>
      <c r="J48" s="5">
        <v>1</v>
      </c>
      <c r="K48" s="5">
        <v>1.2</v>
      </c>
      <c r="L48">
        <f t="shared" si="0"/>
        <v>32.5</v>
      </c>
      <c r="M48" s="2">
        <v>0</v>
      </c>
      <c r="N48" s="2">
        <v>0</v>
      </c>
      <c r="O48" s="2">
        <f t="shared" si="9"/>
        <v>325</v>
      </c>
      <c r="P48" s="2">
        <v>1.1950000000000001</v>
      </c>
      <c r="Q48" s="2">
        <v>1.1950000000000001</v>
      </c>
      <c r="R48" s="5" t="s">
        <v>121</v>
      </c>
      <c r="S48" s="5">
        <v>2</v>
      </c>
      <c r="X48" s="6">
        <v>1</v>
      </c>
      <c r="Y48" t="str">
        <f t="shared" si="2"/>
        <v>坦克</v>
      </c>
      <c r="Z48">
        <f t="shared" si="3"/>
        <v>1</v>
      </c>
      <c r="AA48">
        <f t="shared" si="4"/>
        <v>2</v>
      </c>
      <c r="AB48">
        <f t="shared" si="5"/>
        <v>1.2</v>
      </c>
      <c r="AC48">
        <f t="shared" si="6"/>
        <v>1</v>
      </c>
      <c r="AG48">
        <f t="shared" si="7"/>
        <v>195</v>
      </c>
      <c r="AK48">
        <f t="shared" si="8"/>
        <v>32.5</v>
      </c>
    </row>
    <row r="49" spans="2:37" x14ac:dyDescent="0.15">
      <c r="B49" s="5">
        <v>2046</v>
      </c>
      <c r="C49" s="6" t="s">
        <v>31</v>
      </c>
      <c r="D49" s="5" t="s">
        <v>27</v>
      </c>
      <c r="E49" s="4" t="s">
        <v>79</v>
      </c>
      <c r="F49" s="2">
        <v>1</v>
      </c>
      <c r="G49" s="5">
        <v>82</v>
      </c>
      <c r="H49" s="5">
        <v>37.700000000000003</v>
      </c>
      <c r="I49" s="5">
        <v>1</v>
      </c>
      <c r="J49" s="5">
        <v>4</v>
      </c>
      <c r="K49" s="5">
        <v>1.2</v>
      </c>
      <c r="L49">
        <f t="shared" si="0"/>
        <v>54.664999999999999</v>
      </c>
      <c r="M49" s="4">
        <v>0</v>
      </c>
      <c r="N49" s="4">
        <v>0</v>
      </c>
      <c r="O49" s="4">
        <f t="shared" si="9"/>
        <v>300.65999999999997</v>
      </c>
      <c r="P49" s="2">
        <v>1.1950000000000001</v>
      </c>
      <c r="Q49" s="2">
        <v>1.1950000000000001</v>
      </c>
      <c r="R49" s="5" t="s">
        <v>121</v>
      </c>
      <c r="S49" s="5">
        <v>1</v>
      </c>
      <c r="X49" s="6">
        <v>3</v>
      </c>
      <c r="Y49" t="str">
        <f t="shared" si="2"/>
        <v>远程</v>
      </c>
      <c r="Z49">
        <f t="shared" si="3"/>
        <v>4</v>
      </c>
      <c r="AA49">
        <f t="shared" si="4"/>
        <v>1</v>
      </c>
      <c r="AB49">
        <f t="shared" si="5"/>
        <v>1.2</v>
      </c>
      <c r="AC49">
        <f t="shared" si="6"/>
        <v>1</v>
      </c>
      <c r="AG49">
        <f t="shared" si="7"/>
        <v>82</v>
      </c>
      <c r="AK49">
        <f t="shared" si="8"/>
        <v>37.700000000000003</v>
      </c>
    </row>
    <row r="50" spans="2:37" x14ac:dyDescent="0.15">
      <c r="B50" s="5">
        <v>2047</v>
      </c>
      <c r="C50" s="6" t="s">
        <v>32</v>
      </c>
      <c r="D50" s="5" t="s">
        <v>26</v>
      </c>
      <c r="E50" s="4" t="s">
        <v>80</v>
      </c>
      <c r="F50" s="4">
        <v>1</v>
      </c>
      <c r="G50" s="5">
        <v>110</v>
      </c>
      <c r="H50" s="5">
        <v>32</v>
      </c>
      <c r="I50" s="5">
        <v>1</v>
      </c>
      <c r="J50" s="5">
        <v>1</v>
      </c>
      <c r="K50" s="5">
        <v>1.2</v>
      </c>
      <c r="L50">
        <f t="shared" si="0"/>
        <v>32</v>
      </c>
      <c r="M50" s="4">
        <v>0</v>
      </c>
      <c r="N50" s="4">
        <v>0</v>
      </c>
      <c r="O50" s="4">
        <f t="shared" si="9"/>
        <v>238</v>
      </c>
      <c r="P50" s="2">
        <v>1.1950000000000001</v>
      </c>
      <c r="Q50" s="2">
        <v>1.1950000000000001</v>
      </c>
      <c r="R50" s="5" t="s">
        <v>122</v>
      </c>
      <c r="S50" s="5">
        <v>1</v>
      </c>
      <c r="X50" s="6">
        <v>2</v>
      </c>
      <c r="Y50" t="str">
        <f t="shared" si="2"/>
        <v>近战</v>
      </c>
      <c r="Z50">
        <f t="shared" si="3"/>
        <v>1</v>
      </c>
      <c r="AA50">
        <f t="shared" si="4"/>
        <v>1</v>
      </c>
      <c r="AB50">
        <f t="shared" si="5"/>
        <v>1.2</v>
      </c>
      <c r="AC50">
        <f t="shared" si="6"/>
        <v>1</v>
      </c>
      <c r="AG50">
        <f t="shared" si="7"/>
        <v>110</v>
      </c>
      <c r="AK50">
        <f t="shared" si="8"/>
        <v>32</v>
      </c>
    </row>
    <row r="51" spans="2:37" x14ac:dyDescent="0.15">
      <c r="B51" s="5">
        <v>2048</v>
      </c>
      <c r="C51" s="6" t="s">
        <v>32</v>
      </c>
      <c r="D51" s="5" t="s">
        <v>24</v>
      </c>
      <c r="E51" s="4" t="s">
        <v>81</v>
      </c>
      <c r="F51" s="4">
        <v>1</v>
      </c>
      <c r="G51" s="5">
        <v>150</v>
      </c>
      <c r="H51" s="5">
        <v>25</v>
      </c>
      <c r="I51" s="5">
        <v>1</v>
      </c>
      <c r="J51" s="5">
        <v>1</v>
      </c>
      <c r="K51" s="5">
        <v>1.2</v>
      </c>
      <c r="L51">
        <f t="shared" si="0"/>
        <v>25</v>
      </c>
      <c r="M51" s="4">
        <v>0</v>
      </c>
      <c r="N51" s="4">
        <v>0</v>
      </c>
      <c r="O51" s="4">
        <f t="shared" si="9"/>
        <v>250</v>
      </c>
      <c r="P51" s="2">
        <v>1.1950000000000001</v>
      </c>
      <c r="Q51" s="2">
        <v>1.1950000000000001</v>
      </c>
      <c r="R51" s="5" t="s">
        <v>122</v>
      </c>
      <c r="S51" s="5">
        <v>2</v>
      </c>
      <c r="X51" s="6">
        <v>1</v>
      </c>
      <c r="Y51" t="str">
        <f t="shared" si="2"/>
        <v>坦克</v>
      </c>
      <c r="Z51">
        <f t="shared" si="3"/>
        <v>1</v>
      </c>
      <c r="AA51">
        <f t="shared" si="4"/>
        <v>2</v>
      </c>
      <c r="AB51">
        <f t="shared" si="5"/>
        <v>1.2</v>
      </c>
      <c r="AC51">
        <f t="shared" si="6"/>
        <v>1</v>
      </c>
      <c r="AG51">
        <f t="shared" si="7"/>
        <v>150</v>
      </c>
      <c r="AK51">
        <f t="shared" si="8"/>
        <v>25</v>
      </c>
    </row>
    <row r="52" spans="2:37" x14ac:dyDescent="0.15">
      <c r="B52" s="5">
        <v>2049</v>
      </c>
      <c r="C52" s="6" t="s">
        <v>32</v>
      </c>
      <c r="D52" s="5" t="s">
        <v>33</v>
      </c>
      <c r="E52" s="4" t="s">
        <v>82</v>
      </c>
      <c r="F52" s="4">
        <v>1</v>
      </c>
      <c r="G52" s="5">
        <v>82</v>
      </c>
      <c r="H52" s="5">
        <v>20</v>
      </c>
      <c r="I52" s="5">
        <v>2</v>
      </c>
      <c r="J52" s="5">
        <v>1</v>
      </c>
      <c r="K52" s="5">
        <v>2.5</v>
      </c>
      <c r="L52">
        <f t="shared" si="0"/>
        <v>40</v>
      </c>
      <c r="M52" s="2">
        <v>0</v>
      </c>
      <c r="N52" s="2">
        <v>0</v>
      </c>
      <c r="O52" s="2">
        <f t="shared" si="9"/>
        <v>242</v>
      </c>
      <c r="P52" s="2">
        <v>1.1950000000000001</v>
      </c>
      <c r="Q52" s="2">
        <v>1.1950000000000001</v>
      </c>
      <c r="R52" s="5" t="s">
        <v>122</v>
      </c>
      <c r="S52" s="5">
        <v>1</v>
      </c>
      <c r="X52" s="6">
        <v>4</v>
      </c>
      <c r="Y52" t="str">
        <f t="shared" si="2"/>
        <v>刺客</v>
      </c>
      <c r="Z52">
        <f t="shared" si="3"/>
        <v>1</v>
      </c>
      <c r="AA52">
        <f t="shared" si="4"/>
        <v>1</v>
      </c>
      <c r="AB52">
        <f t="shared" si="5"/>
        <v>2.5</v>
      </c>
      <c r="AC52">
        <f t="shared" si="6"/>
        <v>2</v>
      </c>
      <c r="AG52">
        <f t="shared" si="7"/>
        <v>82</v>
      </c>
      <c r="AK52">
        <f t="shared" si="8"/>
        <v>20</v>
      </c>
    </row>
    <row r="53" spans="2:37" x14ac:dyDescent="0.15">
      <c r="B53" s="5">
        <v>2050</v>
      </c>
      <c r="C53" s="6" t="s">
        <v>32</v>
      </c>
      <c r="D53" s="5" t="s">
        <v>24</v>
      </c>
      <c r="E53" s="4" t="s">
        <v>83</v>
      </c>
      <c r="F53" s="4">
        <v>1</v>
      </c>
      <c r="G53" s="5">
        <v>150</v>
      </c>
      <c r="H53" s="5">
        <v>25</v>
      </c>
      <c r="I53" s="5">
        <v>1</v>
      </c>
      <c r="J53" s="5">
        <v>1</v>
      </c>
      <c r="K53" s="5">
        <v>1.2</v>
      </c>
      <c r="L53">
        <f t="shared" si="0"/>
        <v>25</v>
      </c>
      <c r="M53" s="2">
        <v>0</v>
      </c>
      <c r="N53" s="2">
        <v>0</v>
      </c>
      <c r="O53" s="2">
        <f t="shared" si="9"/>
        <v>250</v>
      </c>
      <c r="P53" s="2">
        <v>1.1950000000000001</v>
      </c>
      <c r="Q53" s="2">
        <v>1.1950000000000001</v>
      </c>
      <c r="R53" s="5" t="s">
        <v>122</v>
      </c>
      <c r="S53" s="5">
        <v>2</v>
      </c>
      <c r="X53" s="6">
        <v>1</v>
      </c>
      <c r="Y53" t="str">
        <f t="shared" si="2"/>
        <v>坦克</v>
      </c>
      <c r="Z53">
        <f t="shared" si="3"/>
        <v>1</v>
      </c>
      <c r="AA53">
        <f t="shared" si="4"/>
        <v>2</v>
      </c>
      <c r="AB53">
        <f t="shared" si="5"/>
        <v>1.2</v>
      </c>
      <c r="AC53">
        <f t="shared" si="6"/>
        <v>1</v>
      </c>
      <c r="AG53">
        <f t="shared" si="7"/>
        <v>150</v>
      </c>
      <c r="AK53">
        <f t="shared" si="8"/>
        <v>25</v>
      </c>
    </row>
    <row r="54" spans="2:37" x14ac:dyDescent="0.15">
      <c r="B54" s="5">
        <v>2051</v>
      </c>
      <c r="C54" s="6" t="s">
        <v>32</v>
      </c>
      <c r="D54" s="5" t="s">
        <v>26</v>
      </c>
      <c r="E54" s="4" t="s">
        <v>84</v>
      </c>
      <c r="F54" s="2">
        <v>1</v>
      </c>
      <c r="G54" s="5">
        <v>110</v>
      </c>
      <c r="H54" s="5">
        <v>32</v>
      </c>
      <c r="I54" s="5">
        <v>1</v>
      </c>
      <c r="J54" s="5">
        <v>1</v>
      </c>
      <c r="K54" s="5">
        <v>1.2</v>
      </c>
      <c r="L54">
        <f t="shared" si="0"/>
        <v>32</v>
      </c>
      <c r="M54" s="2">
        <v>0</v>
      </c>
      <c r="N54" s="2">
        <v>0</v>
      </c>
      <c r="O54" s="2">
        <f t="shared" si="9"/>
        <v>238</v>
      </c>
      <c r="P54" s="2">
        <v>1.1950000000000001</v>
      </c>
      <c r="Q54" s="2">
        <v>1.1950000000000001</v>
      </c>
      <c r="R54" s="5" t="s">
        <v>122</v>
      </c>
      <c r="S54" s="5">
        <v>1</v>
      </c>
      <c r="X54" s="6">
        <v>2</v>
      </c>
      <c r="Y54" t="str">
        <f t="shared" si="2"/>
        <v>近战</v>
      </c>
      <c r="Z54">
        <f t="shared" si="3"/>
        <v>1</v>
      </c>
      <c r="AA54">
        <f t="shared" si="4"/>
        <v>1</v>
      </c>
      <c r="AB54">
        <f t="shared" si="5"/>
        <v>1.2</v>
      </c>
      <c r="AC54">
        <f t="shared" si="6"/>
        <v>1</v>
      </c>
      <c r="AG54">
        <f t="shared" si="7"/>
        <v>110</v>
      </c>
      <c r="AK54">
        <f t="shared" si="8"/>
        <v>32</v>
      </c>
    </row>
    <row r="55" spans="2:37" x14ac:dyDescent="0.15">
      <c r="B55" s="5">
        <v>2052</v>
      </c>
      <c r="C55" s="6" t="s">
        <v>32</v>
      </c>
      <c r="D55" s="5" t="s">
        <v>27</v>
      </c>
      <c r="E55" s="4" t="s">
        <v>85</v>
      </c>
      <c r="F55" s="2">
        <v>1</v>
      </c>
      <c r="G55" s="5">
        <v>63</v>
      </c>
      <c r="H55" s="5">
        <v>29</v>
      </c>
      <c r="I55" s="5">
        <v>1</v>
      </c>
      <c r="J55" s="5">
        <v>4</v>
      </c>
      <c r="K55" s="5">
        <v>1.2</v>
      </c>
      <c r="L55">
        <f t="shared" si="0"/>
        <v>42.05</v>
      </c>
      <c r="M55" s="2">
        <v>0</v>
      </c>
      <c r="N55" s="2">
        <v>0</v>
      </c>
      <c r="O55" s="2">
        <f t="shared" si="9"/>
        <v>231.2</v>
      </c>
      <c r="P55" s="2">
        <v>1.1950000000000001</v>
      </c>
      <c r="Q55" s="2">
        <v>1.1950000000000001</v>
      </c>
      <c r="R55" s="5" t="s">
        <v>122</v>
      </c>
      <c r="S55" s="5">
        <v>1</v>
      </c>
      <c r="X55" s="6">
        <v>3</v>
      </c>
      <c r="Y55" t="str">
        <f t="shared" si="2"/>
        <v>远程</v>
      </c>
      <c r="Z55">
        <f t="shared" si="3"/>
        <v>4</v>
      </c>
      <c r="AA55">
        <f t="shared" si="4"/>
        <v>1</v>
      </c>
      <c r="AB55">
        <f t="shared" si="5"/>
        <v>1.2</v>
      </c>
      <c r="AC55">
        <f t="shared" si="6"/>
        <v>1</v>
      </c>
      <c r="AG55">
        <f t="shared" si="7"/>
        <v>63</v>
      </c>
      <c r="AK55">
        <f t="shared" si="8"/>
        <v>29</v>
      </c>
    </row>
    <row r="56" spans="2:37" x14ac:dyDescent="0.15">
      <c r="B56" s="5">
        <v>2053</v>
      </c>
      <c r="C56" s="6" t="s">
        <v>32</v>
      </c>
      <c r="D56" s="5" t="s">
        <v>26</v>
      </c>
      <c r="E56" s="4" t="s">
        <v>86</v>
      </c>
      <c r="F56" s="2">
        <v>1</v>
      </c>
      <c r="G56" s="5">
        <v>110</v>
      </c>
      <c r="H56" s="5">
        <v>32</v>
      </c>
      <c r="I56" s="5">
        <v>1</v>
      </c>
      <c r="J56" s="5">
        <v>1</v>
      </c>
      <c r="K56" s="5">
        <v>1.2</v>
      </c>
      <c r="L56">
        <f t="shared" si="0"/>
        <v>32</v>
      </c>
      <c r="M56" s="2">
        <v>0</v>
      </c>
      <c r="N56" s="2">
        <v>0</v>
      </c>
      <c r="O56" s="2">
        <f t="shared" si="9"/>
        <v>238</v>
      </c>
      <c r="P56" s="2">
        <v>1.1950000000000001</v>
      </c>
      <c r="Q56" s="2">
        <v>1.1950000000000001</v>
      </c>
      <c r="R56" s="5" t="s">
        <v>122</v>
      </c>
      <c r="S56" s="5">
        <v>1</v>
      </c>
      <c r="X56" s="6">
        <v>2</v>
      </c>
      <c r="Y56" t="str">
        <f t="shared" si="2"/>
        <v>近战</v>
      </c>
      <c r="Z56">
        <f t="shared" si="3"/>
        <v>1</v>
      </c>
      <c r="AA56">
        <f t="shared" si="4"/>
        <v>1</v>
      </c>
      <c r="AB56">
        <f t="shared" si="5"/>
        <v>1.2</v>
      </c>
      <c r="AC56">
        <f t="shared" si="6"/>
        <v>1</v>
      </c>
      <c r="AG56">
        <f t="shared" si="7"/>
        <v>110</v>
      </c>
      <c r="AK56">
        <f t="shared" si="8"/>
        <v>32</v>
      </c>
    </row>
    <row r="57" spans="2:37" x14ac:dyDescent="0.15">
      <c r="B57" s="5">
        <v>2054</v>
      </c>
      <c r="C57" s="6" t="s">
        <v>31</v>
      </c>
      <c r="D57" s="5" t="s">
        <v>26</v>
      </c>
      <c r="E57" s="4" t="s">
        <v>87</v>
      </c>
      <c r="F57" s="4">
        <v>1</v>
      </c>
      <c r="G57" s="5">
        <v>143</v>
      </c>
      <c r="H57" s="5">
        <v>35.75</v>
      </c>
      <c r="I57" s="5">
        <v>1</v>
      </c>
      <c r="J57" s="5">
        <v>1</v>
      </c>
      <c r="K57" s="5">
        <v>1.2</v>
      </c>
      <c r="L57">
        <f t="shared" si="0"/>
        <v>35.75</v>
      </c>
      <c r="M57" s="4">
        <v>0</v>
      </c>
      <c r="N57" s="4">
        <v>0</v>
      </c>
      <c r="O57" s="4">
        <f t="shared" si="9"/>
        <v>286</v>
      </c>
      <c r="P57" s="2">
        <v>1.1950000000000001</v>
      </c>
      <c r="Q57" s="2">
        <v>1.1950000000000001</v>
      </c>
      <c r="R57" s="5" t="s">
        <v>122</v>
      </c>
      <c r="S57" s="5">
        <v>1</v>
      </c>
      <c r="X57" s="6">
        <v>2</v>
      </c>
      <c r="Y57" t="str">
        <f t="shared" si="2"/>
        <v>近战</v>
      </c>
      <c r="Z57">
        <f t="shared" si="3"/>
        <v>1</v>
      </c>
      <c r="AA57">
        <f t="shared" si="4"/>
        <v>1</v>
      </c>
      <c r="AB57">
        <f t="shared" si="5"/>
        <v>1.2</v>
      </c>
      <c r="AC57">
        <f t="shared" si="6"/>
        <v>1</v>
      </c>
      <c r="AG57">
        <f t="shared" si="7"/>
        <v>143</v>
      </c>
      <c r="AK57">
        <f t="shared" si="8"/>
        <v>35.75</v>
      </c>
    </row>
    <row r="58" spans="2:37" x14ac:dyDescent="0.15">
      <c r="B58" s="5">
        <v>2055</v>
      </c>
      <c r="C58" s="6" t="s">
        <v>31</v>
      </c>
      <c r="D58" s="5" t="s">
        <v>24</v>
      </c>
      <c r="E58" s="4" t="s">
        <v>88</v>
      </c>
      <c r="F58" s="4">
        <v>1</v>
      </c>
      <c r="G58" s="5">
        <v>195</v>
      </c>
      <c r="H58" s="5">
        <v>32.5</v>
      </c>
      <c r="I58" s="5">
        <v>1</v>
      </c>
      <c r="J58" s="5">
        <v>1</v>
      </c>
      <c r="K58" s="5">
        <v>1.2</v>
      </c>
      <c r="L58">
        <f t="shared" si="0"/>
        <v>32.5</v>
      </c>
      <c r="M58" s="4">
        <v>0</v>
      </c>
      <c r="N58" s="4">
        <v>0</v>
      </c>
      <c r="O58" s="4">
        <f t="shared" si="9"/>
        <v>325</v>
      </c>
      <c r="P58" s="2">
        <v>1.1950000000000001</v>
      </c>
      <c r="Q58" s="2">
        <v>1.1950000000000001</v>
      </c>
      <c r="R58" s="5" t="s">
        <v>122</v>
      </c>
      <c r="S58" s="5">
        <v>2</v>
      </c>
      <c r="X58" s="6">
        <v>1</v>
      </c>
      <c r="Y58" t="str">
        <f t="shared" si="2"/>
        <v>坦克</v>
      </c>
      <c r="Z58">
        <f t="shared" si="3"/>
        <v>1</v>
      </c>
      <c r="AA58">
        <f t="shared" si="4"/>
        <v>2</v>
      </c>
      <c r="AB58">
        <f t="shared" si="5"/>
        <v>1.2</v>
      </c>
      <c r="AC58">
        <f t="shared" si="6"/>
        <v>1</v>
      </c>
      <c r="AG58">
        <f t="shared" si="7"/>
        <v>195</v>
      </c>
      <c r="AK58">
        <f t="shared" si="8"/>
        <v>32.5</v>
      </c>
    </row>
    <row r="59" spans="2:37" x14ac:dyDescent="0.15">
      <c r="B59" s="5">
        <v>2056</v>
      </c>
      <c r="C59" s="6" t="s">
        <v>31</v>
      </c>
      <c r="D59" s="5" t="s">
        <v>33</v>
      </c>
      <c r="E59" s="4" t="s">
        <v>89</v>
      </c>
      <c r="F59" s="4">
        <v>1</v>
      </c>
      <c r="G59" s="5">
        <v>106</v>
      </c>
      <c r="H59" s="5">
        <v>26</v>
      </c>
      <c r="I59" s="5">
        <v>2</v>
      </c>
      <c r="J59" s="5">
        <v>1</v>
      </c>
      <c r="K59" s="5">
        <v>2.5</v>
      </c>
      <c r="L59">
        <f t="shared" si="0"/>
        <v>52</v>
      </c>
      <c r="M59" s="4">
        <v>0</v>
      </c>
      <c r="N59" s="4">
        <v>0</v>
      </c>
      <c r="O59" s="4">
        <f t="shared" si="9"/>
        <v>314</v>
      </c>
      <c r="P59" s="2">
        <v>1.1950000000000001</v>
      </c>
      <c r="Q59" s="2">
        <v>1.1950000000000001</v>
      </c>
      <c r="R59" s="5" t="s">
        <v>122</v>
      </c>
      <c r="S59" s="5">
        <v>1</v>
      </c>
      <c r="X59" s="6">
        <v>4</v>
      </c>
      <c r="Y59" t="str">
        <f t="shared" si="2"/>
        <v>刺客</v>
      </c>
      <c r="Z59">
        <f t="shared" si="3"/>
        <v>1</v>
      </c>
      <c r="AA59">
        <f t="shared" si="4"/>
        <v>1</v>
      </c>
      <c r="AB59">
        <f t="shared" si="5"/>
        <v>2.5</v>
      </c>
      <c r="AC59">
        <f t="shared" si="6"/>
        <v>2</v>
      </c>
      <c r="AG59">
        <f t="shared" si="7"/>
        <v>106</v>
      </c>
      <c r="AK59">
        <f t="shared" si="8"/>
        <v>26</v>
      </c>
    </row>
    <row r="60" spans="2:37" x14ac:dyDescent="0.15">
      <c r="B60" s="5">
        <v>2057</v>
      </c>
      <c r="C60" s="6" t="s">
        <v>31</v>
      </c>
      <c r="D60" s="5" t="s">
        <v>24</v>
      </c>
      <c r="E60" s="4" t="s">
        <v>90</v>
      </c>
      <c r="F60" s="4">
        <v>1</v>
      </c>
      <c r="G60" s="5">
        <v>195</v>
      </c>
      <c r="H60" s="5">
        <v>32.5</v>
      </c>
      <c r="I60" s="5">
        <v>1</v>
      </c>
      <c r="J60" s="5">
        <v>1</v>
      </c>
      <c r="K60" s="5">
        <v>1.2</v>
      </c>
      <c r="L60">
        <f t="shared" si="0"/>
        <v>32.5</v>
      </c>
      <c r="M60" s="2">
        <v>0</v>
      </c>
      <c r="N60" s="2">
        <v>0</v>
      </c>
      <c r="O60" s="2">
        <f t="shared" si="9"/>
        <v>325</v>
      </c>
      <c r="P60" s="2">
        <v>1.1950000000000001</v>
      </c>
      <c r="Q60" s="2">
        <v>1.1950000000000001</v>
      </c>
      <c r="R60" s="5" t="s">
        <v>122</v>
      </c>
      <c r="S60" s="5">
        <v>2</v>
      </c>
      <c r="X60" s="6">
        <v>1</v>
      </c>
      <c r="Y60" t="str">
        <f t="shared" si="2"/>
        <v>坦克</v>
      </c>
      <c r="Z60">
        <f t="shared" si="3"/>
        <v>1</v>
      </c>
      <c r="AA60">
        <f t="shared" si="4"/>
        <v>2</v>
      </c>
      <c r="AB60">
        <f t="shared" si="5"/>
        <v>1.2</v>
      </c>
      <c r="AC60">
        <f t="shared" si="6"/>
        <v>1</v>
      </c>
      <c r="AG60">
        <f t="shared" si="7"/>
        <v>195</v>
      </c>
      <c r="AK60">
        <f t="shared" si="8"/>
        <v>32.5</v>
      </c>
    </row>
    <row r="61" spans="2:37" x14ac:dyDescent="0.15">
      <c r="B61" s="5">
        <v>2058</v>
      </c>
      <c r="C61" s="6" t="s">
        <v>31</v>
      </c>
      <c r="D61" s="5" t="s">
        <v>26</v>
      </c>
      <c r="E61" s="4" t="s">
        <v>91</v>
      </c>
      <c r="F61" s="2">
        <v>1</v>
      </c>
      <c r="G61" s="5">
        <v>143</v>
      </c>
      <c r="H61" s="5">
        <v>35.75</v>
      </c>
      <c r="I61" s="5">
        <v>1</v>
      </c>
      <c r="J61" s="5">
        <v>1</v>
      </c>
      <c r="K61" s="5">
        <v>1.2</v>
      </c>
      <c r="L61">
        <f t="shared" si="0"/>
        <v>35.75</v>
      </c>
      <c r="M61" s="2">
        <v>0</v>
      </c>
      <c r="N61" s="2">
        <v>0</v>
      </c>
      <c r="O61" s="2">
        <f t="shared" si="9"/>
        <v>286</v>
      </c>
      <c r="P61" s="2">
        <v>1.1950000000000001</v>
      </c>
      <c r="Q61" s="2">
        <v>1.1950000000000001</v>
      </c>
      <c r="R61" s="5" t="s">
        <v>122</v>
      </c>
      <c r="S61" s="5">
        <v>1</v>
      </c>
      <c r="X61" s="6">
        <v>2</v>
      </c>
      <c r="Y61" t="str">
        <f t="shared" si="2"/>
        <v>近战</v>
      </c>
      <c r="Z61">
        <f t="shared" si="3"/>
        <v>1</v>
      </c>
      <c r="AA61">
        <f t="shared" si="4"/>
        <v>1</v>
      </c>
      <c r="AB61">
        <f t="shared" si="5"/>
        <v>1.2</v>
      </c>
      <c r="AC61">
        <f t="shared" si="6"/>
        <v>1</v>
      </c>
      <c r="AG61">
        <f t="shared" si="7"/>
        <v>143</v>
      </c>
      <c r="AK61">
        <f t="shared" si="8"/>
        <v>35.75</v>
      </c>
    </row>
    <row r="62" spans="2:37" x14ac:dyDescent="0.15">
      <c r="B62" s="5">
        <v>2059</v>
      </c>
      <c r="C62" s="6" t="s">
        <v>31</v>
      </c>
      <c r="D62" s="5" t="s">
        <v>27</v>
      </c>
      <c r="E62" s="4" t="s">
        <v>92</v>
      </c>
      <c r="F62" s="2">
        <v>1</v>
      </c>
      <c r="G62" s="5">
        <v>82</v>
      </c>
      <c r="H62" s="5">
        <v>37.700000000000003</v>
      </c>
      <c r="I62" s="5">
        <v>1</v>
      </c>
      <c r="J62" s="5">
        <v>4</v>
      </c>
      <c r="K62" s="5">
        <v>1.2</v>
      </c>
      <c r="L62">
        <f t="shared" si="0"/>
        <v>54.664999999999999</v>
      </c>
      <c r="M62" s="2">
        <v>0</v>
      </c>
      <c r="N62" s="2">
        <v>0</v>
      </c>
      <c r="O62" s="2">
        <f t="shared" si="9"/>
        <v>300.65999999999997</v>
      </c>
      <c r="P62" s="2">
        <v>1.1950000000000001</v>
      </c>
      <c r="Q62" s="2">
        <v>1.1950000000000001</v>
      </c>
      <c r="R62" s="5" t="s">
        <v>122</v>
      </c>
      <c r="S62" s="5">
        <v>1</v>
      </c>
      <c r="X62" s="6">
        <v>3</v>
      </c>
      <c r="Y62" t="str">
        <f t="shared" si="2"/>
        <v>远程</v>
      </c>
      <c r="Z62">
        <f t="shared" si="3"/>
        <v>4</v>
      </c>
      <c r="AA62">
        <f t="shared" si="4"/>
        <v>1</v>
      </c>
      <c r="AB62">
        <f t="shared" si="5"/>
        <v>1.2</v>
      </c>
      <c r="AC62">
        <f t="shared" si="6"/>
        <v>1</v>
      </c>
      <c r="AG62">
        <f t="shared" si="7"/>
        <v>82</v>
      </c>
      <c r="AK62">
        <f t="shared" si="8"/>
        <v>37.700000000000003</v>
      </c>
    </row>
    <row r="63" spans="2:37" x14ac:dyDescent="0.15">
      <c r="B63" s="5">
        <v>2060</v>
      </c>
      <c r="C63" s="6" t="s">
        <v>32</v>
      </c>
      <c r="D63" s="5" t="s">
        <v>26</v>
      </c>
      <c r="E63" s="4" t="s">
        <v>93</v>
      </c>
      <c r="F63" s="2">
        <v>1</v>
      </c>
      <c r="G63" s="5">
        <v>110</v>
      </c>
      <c r="H63" s="5">
        <v>32</v>
      </c>
      <c r="I63" s="5">
        <v>1</v>
      </c>
      <c r="J63" s="5">
        <v>1</v>
      </c>
      <c r="K63" s="5">
        <v>1.2</v>
      </c>
      <c r="L63">
        <f t="shared" si="0"/>
        <v>32</v>
      </c>
      <c r="M63" s="2">
        <v>0</v>
      </c>
      <c r="N63" s="2">
        <v>0</v>
      </c>
      <c r="O63" s="2">
        <f t="shared" si="9"/>
        <v>238</v>
      </c>
      <c r="P63" s="2">
        <v>1.1950000000000001</v>
      </c>
      <c r="Q63" s="2">
        <v>1.1950000000000001</v>
      </c>
      <c r="R63" s="5" t="s">
        <v>141</v>
      </c>
      <c r="S63" s="5">
        <v>1</v>
      </c>
      <c r="X63" s="6">
        <v>2</v>
      </c>
      <c r="Y63" t="str">
        <f t="shared" si="2"/>
        <v>近战</v>
      </c>
      <c r="Z63">
        <f t="shared" si="3"/>
        <v>1</v>
      </c>
      <c r="AA63">
        <f t="shared" si="4"/>
        <v>1</v>
      </c>
      <c r="AB63">
        <f t="shared" si="5"/>
        <v>1.2</v>
      </c>
      <c r="AC63">
        <f t="shared" si="6"/>
        <v>1</v>
      </c>
      <c r="AG63">
        <f t="shared" si="7"/>
        <v>110</v>
      </c>
      <c r="AK63">
        <f t="shared" si="8"/>
        <v>32</v>
      </c>
    </row>
    <row r="64" spans="2:37" x14ac:dyDescent="0.15">
      <c r="B64" s="5">
        <v>2061</v>
      </c>
      <c r="C64" s="6" t="s">
        <v>32</v>
      </c>
      <c r="D64" s="5" t="s">
        <v>24</v>
      </c>
      <c r="E64" s="4" t="s">
        <v>94</v>
      </c>
      <c r="F64" s="4">
        <v>1</v>
      </c>
      <c r="G64" s="5">
        <v>150</v>
      </c>
      <c r="H64" s="5">
        <v>25</v>
      </c>
      <c r="I64" s="5">
        <v>1</v>
      </c>
      <c r="J64" s="5">
        <v>1</v>
      </c>
      <c r="K64" s="5">
        <v>1.2</v>
      </c>
      <c r="L64">
        <f t="shared" si="0"/>
        <v>25</v>
      </c>
      <c r="M64" s="2">
        <v>0</v>
      </c>
      <c r="N64" s="2">
        <v>0</v>
      </c>
      <c r="O64" s="2">
        <f t="shared" si="9"/>
        <v>250</v>
      </c>
      <c r="P64" s="2">
        <v>1.1950000000000001</v>
      </c>
      <c r="Q64" s="2">
        <v>1.1950000000000001</v>
      </c>
      <c r="R64" s="5" t="s">
        <v>141</v>
      </c>
      <c r="S64" s="5">
        <v>2</v>
      </c>
      <c r="X64" s="6">
        <v>1</v>
      </c>
      <c r="Y64" t="str">
        <f t="shared" si="2"/>
        <v>坦克</v>
      </c>
      <c r="Z64">
        <f t="shared" si="3"/>
        <v>1</v>
      </c>
      <c r="AA64">
        <f t="shared" si="4"/>
        <v>2</v>
      </c>
      <c r="AB64">
        <f t="shared" si="5"/>
        <v>1.2</v>
      </c>
      <c r="AC64">
        <f t="shared" si="6"/>
        <v>1</v>
      </c>
      <c r="AG64">
        <f t="shared" si="7"/>
        <v>150</v>
      </c>
      <c r="AK64">
        <f t="shared" si="8"/>
        <v>25</v>
      </c>
    </row>
    <row r="65" spans="2:37" x14ac:dyDescent="0.15">
      <c r="B65" s="5">
        <v>2062</v>
      </c>
      <c r="C65" s="6" t="s">
        <v>32</v>
      </c>
      <c r="D65" s="5" t="s">
        <v>24</v>
      </c>
      <c r="E65" s="4" t="s">
        <v>95</v>
      </c>
      <c r="F65" s="4">
        <v>1</v>
      </c>
      <c r="G65" s="5">
        <v>150</v>
      </c>
      <c r="H65" s="5">
        <v>25</v>
      </c>
      <c r="I65" s="5">
        <v>1</v>
      </c>
      <c r="J65" s="5">
        <v>1</v>
      </c>
      <c r="K65" s="5">
        <v>1.2</v>
      </c>
      <c r="L65">
        <f t="shared" si="0"/>
        <v>25</v>
      </c>
      <c r="M65" s="4">
        <v>0</v>
      </c>
      <c r="N65" s="4">
        <v>0</v>
      </c>
      <c r="O65" s="4">
        <f t="shared" si="9"/>
        <v>250</v>
      </c>
      <c r="P65" s="2">
        <v>1.1950000000000001</v>
      </c>
      <c r="Q65" s="2">
        <v>1.1950000000000001</v>
      </c>
      <c r="R65" s="5" t="s">
        <v>141</v>
      </c>
      <c r="S65" s="5">
        <v>2</v>
      </c>
      <c r="X65" s="6">
        <v>1</v>
      </c>
      <c r="Y65" t="str">
        <f t="shared" si="2"/>
        <v>坦克</v>
      </c>
      <c r="Z65">
        <f t="shared" si="3"/>
        <v>1</v>
      </c>
      <c r="AA65">
        <f t="shared" si="4"/>
        <v>2</v>
      </c>
      <c r="AB65">
        <f t="shared" si="5"/>
        <v>1.2</v>
      </c>
      <c r="AC65">
        <f t="shared" si="6"/>
        <v>1</v>
      </c>
      <c r="AG65">
        <f t="shared" si="7"/>
        <v>150</v>
      </c>
      <c r="AK65">
        <f t="shared" si="8"/>
        <v>25</v>
      </c>
    </row>
    <row r="66" spans="2:37" x14ac:dyDescent="0.15">
      <c r="B66" s="5">
        <v>2063</v>
      </c>
      <c r="C66" s="6" t="s">
        <v>32</v>
      </c>
      <c r="D66" s="5" t="s">
        <v>24</v>
      </c>
      <c r="E66" s="4" t="s">
        <v>96</v>
      </c>
      <c r="F66" s="4">
        <v>1</v>
      </c>
      <c r="G66" s="5">
        <v>150</v>
      </c>
      <c r="H66" s="5">
        <v>25</v>
      </c>
      <c r="I66" s="5">
        <v>1</v>
      </c>
      <c r="J66" s="5">
        <v>1</v>
      </c>
      <c r="K66" s="5">
        <v>1.2</v>
      </c>
      <c r="L66">
        <f t="shared" si="0"/>
        <v>25</v>
      </c>
      <c r="M66" s="4">
        <v>0</v>
      </c>
      <c r="N66" s="4">
        <v>0</v>
      </c>
      <c r="O66" s="4">
        <f t="shared" si="9"/>
        <v>250</v>
      </c>
      <c r="P66" s="2">
        <v>1.1950000000000001</v>
      </c>
      <c r="Q66" s="2">
        <v>1.1950000000000001</v>
      </c>
      <c r="R66" s="5" t="s">
        <v>141</v>
      </c>
      <c r="S66" s="5">
        <v>2</v>
      </c>
      <c r="X66" s="6">
        <v>1</v>
      </c>
      <c r="Y66" t="str">
        <f t="shared" si="2"/>
        <v>坦克</v>
      </c>
      <c r="Z66">
        <f t="shared" si="3"/>
        <v>1</v>
      </c>
      <c r="AA66">
        <f t="shared" si="4"/>
        <v>2</v>
      </c>
      <c r="AB66">
        <f t="shared" si="5"/>
        <v>1.2</v>
      </c>
      <c r="AC66">
        <f t="shared" si="6"/>
        <v>1</v>
      </c>
      <c r="AG66">
        <f t="shared" si="7"/>
        <v>150</v>
      </c>
      <c r="AK66">
        <f t="shared" si="8"/>
        <v>25</v>
      </c>
    </row>
    <row r="67" spans="2:37" x14ac:dyDescent="0.15">
      <c r="B67" s="5">
        <v>2064</v>
      </c>
      <c r="C67" s="6" t="s">
        <v>32</v>
      </c>
      <c r="D67" s="5" t="s">
        <v>27</v>
      </c>
      <c r="E67" s="4" t="s">
        <v>97</v>
      </c>
      <c r="F67" s="4">
        <v>1</v>
      </c>
      <c r="G67" s="5">
        <v>63</v>
      </c>
      <c r="H67" s="5">
        <v>29</v>
      </c>
      <c r="I67" s="5">
        <v>1</v>
      </c>
      <c r="J67" s="5">
        <v>4</v>
      </c>
      <c r="K67" s="5">
        <v>1.2</v>
      </c>
      <c r="L67">
        <f t="shared" si="0"/>
        <v>42.05</v>
      </c>
      <c r="M67" s="4">
        <v>0</v>
      </c>
      <c r="N67" s="4">
        <v>0</v>
      </c>
      <c r="O67" s="4">
        <f t="shared" si="9"/>
        <v>231.2</v>
      </c>
      <c r="P67" s="2">
        <v>1.1950000000000001</v>
      </c>
      <c r="Q67" s="2">
        <v>1.1950000000000001</v>
      </c>
      <c r="R67" s="5" t="s">
        <v>141</v>
      </c>
      <c r="S67" s="5">
        <v>1</v>
      </c>
      <c r="X67" s="6">
        <v>3</v>
      </c>
      <c r="Y67" t="str">
        <f t="shared" si="2"/>
        <v>远程</v>
      </c>
      <c r="Z67">
        <f t="shared" si="3"/>
        <v>4</v>
      </c>
      <c r="AA67">
        <f t="shared" si="4"/>
        <v>1</v>
      </c>
      <c r="AB67">
        <f t="shared" si="5"/>
        <v>1.2</v>
      </c>
      <c r="AC67">
        <f t="shared" si="6"/>
        <v>1</v>
      </c>
      <c r="AG67">
        <f t="shared" si="7"/>
        <v>63</v>
      </c>
      <c r="AK67">
        <f t="shared" si="8"/>
        <v>29</v>
      </c>
    </row>
    <row r="68" spans="2:37" x14ac:dyDescent="0.15">
      <c r="B68" s="5">
        <v>2065</v>
      </c>
      <c r="C68" s="6" t="s">
        <v>32</v>
      </c>
      <c r="D68" s="5" t="s">
        <v>26</v>
      </c>
      <c r="E68" s="4" t="s">
        <v>98</v>
      </c>
      <c r="F68" s="2">
        <v>1</v>
      </c>
      <c r="G68" s="5">
        <v>110</v>
      </c>
      <c r="H68" s="5">
        <v>32</v>
      </c>
      <c r="I68" s="5">
        <v>1</v>
      </c>
      <c r="J68" s="5">
        <v>1</v>
      </c>
      <c r="K68" s="5">
        <v>1.2</v>
      </c>
      <c r="L68">
        <f t="shared" ref="L68:L89" si="12">H68*I68*((J68-1)*0.15+1)</f>
        <v>32</v>
      </c>
      <c r="M68" s="2">
        <v>0</v>
      </c>
      <c r="N68" s="2">
        <v>0</v>
      </c>
      <c r="O68" s="2">
        <f t="shared" si="9"/>
        <v>238</v>
      </c>
      <c r="P68" s="2">
        <v>1.1950000000000001</v>
      </c>
      <c r="Q68" s="2">
        <v>1.1950000000000001</v>
      </c>
      <c r="R68" s="5" t="s">
        <v>141</v>
      </c>
      <c r="S68" s="5">
        <v>1</v>
      </c>
      <c r="X68" s="6">
        <v>2</v>
      </c>
      <c r="Y68" t="str">
        <f t="shared" si="2"/>
        <v>近战</v>
      </c>
      <c r="Z68">
        <f t="shared" si="3"/>
        <v>1</v>
      </c>
      <c r="AA68">
        <f t="shared" si="4"/>
        <v>1</v>
      </c>
      <c r="AB68">
        <f t="shared" si="5"/>
        <v>1.2</v>
      </c>
      <c r="AC68">
        <f t="shared" si="6"/>
        <v>1</v>
      </c>
      <c r="AG68">
        <f t="shared" si="7"/>
        <v>110</v>
      </c>
      <c r="AK68">
        <f t="shared" si="8"/>
        <v>32</v>
      </c>
    </row>
    <row r="69" spans="2:37" x14ac:dyDescent="0.15">
      <c r="B69" s="5">
        <v>2066</v>
      </c>
      <c r="C69" s="6" t="s">
        <v>32</v>
      </c>
      <c r="D69" s="5" t="s">
        <v>33</v>
      </c>
      <c r="E69" s="4" t="s">
        <v>105</v>
      </c>
      <c r="F69" s="2">
        <v>1</v>
      </c>
      <c r="G69" s="5">
        <v>82</v>
      </c>
      <c r="H69" s="5">
        <v>20</v>
      </c>
      <c r="I69" s="5">
        <v>2</v>
      </c>
      <c r="J69" s="5">
        <v>1</v>
      </c>
      <c r="K69" s="5">
        <v>2.5</v>
      </c>
      <c r="L69">
        <f t="shared" si="12"/>
        <v>40</v>
      </c>
      <c r="M69" s="2">
        <v>0</v>
      </c>
      <c r="N69" s="2">
        <v>0</v>
      </c>
      <c r="O69" s="2">
        <f t="shared" si="9"/>
        <v>242</v>
      </c>
      <c r="P69" s="2">
        <v>1.1950000000000001</v>
      </c>
      <c r="Q69" s="2">
        <v>1.1950000000000001</v>
      </c>
      <c r="R69" s="5" t="s">
        <v>141</v>
      </c>
      <c r="S69" s="5">
        <v>1</v>
      </c>
      <c r="X69" s="6">
        <v>4</v>
      </c>
      <c r="Y69" t="str">
        <f t="shared" ref="Y69:Y88" si="13">CHOOSE(X69, "坦克", "近战", "远程", "刺客")</f>
        <v>刺客</v>
      </c>
      <c r="Z69">
        <f t="shared" ref="Z69:Z89" si="14">IF(D69="坦克", 1, IF(D69="近战", 1, IF(D69="远程", 4, IF(D69="刺客", 1, "未知"))))</f>
        <v>1</v>
      </c>
      <c r="AA69">
        <f t="shared" ref="AA69:AA89" si="15">IF(D69="坦克", 2, IF(D69="近战", 1, IF(D69="远程", 1, IF(D69="刺客", 1, "未知"))))</f>
        <v>1</v>
      </c>
      <c r="AB69">
        <f t="shared" ref="AB69:AB89" si="16">IF(D69="坦克", 1.2, IF(D69="近战", 1.2, IF(D69="远程", 1.2, IF(D69="刺客", 2.5, "未知"))))</f>
        <v>2.5</v>
      </c>
      <c r="AC69">
        <f t="shared" ref="AC69:AC89" si="17">IF(D69="坦克", 1, IF(D69="近战", 1, IF(D69="远程", 1, IF(D69="刺客", 2, "未知"))))</f>
        <v>2</v>
      </c>
      <c r="AG69">
        <f t="shared" ref="AG69:AG89" si="18">VLOOKUP(C69&amp;D69, $AE$4:$AF$11, 2, FALSE)</f>
        <v>82</v>
      </c>
      <c r="AK69">
        <f t="shared" ref="AK69:AK89" si="19">VLOOKUP(C69&amp;D69, $AI$4:$AJ$11, 2, FALSE)</f>
        <v>20</v>
      </c>
    </row>
    <row r="70" spans="2:37" x14ac:dyDescent="0.15">
      <c r="B70" s="5">
        <v>2067</v>
      </c>
      <c r="C70" s="6" t="s">
        <v>31</v>
      </c>
      <c r="D70" s="5" t="s">
        <v>26</v>
      </c>
      <c r="E70" s="4" t="s">
        <v>99</v>
      </c>
      <c r="F70" s="2">
        <v>1</v>
      </c>
      <c r="G70" s="5">
        <v>143</v>
      </c>
      <c r="H70" s="5">
        <v>35.75</v>
      </c>
      <c r="I70" s="5">
        <v>1</v>
      </c>
      <c r="J70" s="5">
        <v>1</v>
      </c>
      <c r="K70" s="5">
        <v>1.2</v>
      </c>
      <c r="L70">
        <f t="shared" si="12"/>
        <v>35.75</v>
      </c>
      <c r="M70" s="2">
        <v>0</v>
      </c>
      <c r="N70" s="2">
        <v>0</v>
      </c>
      <c r="O70" s="2">
        <f t="shared" si="9"/>
        <v>286</v>
      </c>
      <c r="P70" s="2">
        <v>1.1950000000000001</v>
      </c>
      <c r="Q70" s="2">
        <v>1.1950000000000001</v>
      </c>
      <c r="R70" s="5" t="s">
        <v>141</v>
      </c>
      <c r="S70" s="5">
        <v>1</v>
      </c>
      <c r="X70" s="6">
        <v>2</v>
      </c>
      <c r="Y70" t="str">
        <f t="shared" si="13"/>
        <v>近战</v>
      </c>
      <c r="Z70">
        <f t="shared" si="14"/>
        <v>1</v>
      </c>
      <c r="AA70">
        <f t="shared" si="15"/>
        <v>1</v>
      </c>
      <c r="AB70">
        <f t="shared" si="16"/>
        <v>1.2</v>
      </c>
      <c r="AC70">
        <f t="shared" si="17"/>
        <v>1</v>
      </c>
      <c r="AG70">
        <f t="shared" si="18"/>
        <v>143</v>
      </c>
      <c r="AK70">
        <f t="shared" si="19"/>
        <v>35.75</v>
      </c>
    </row>
    <row r="71" spans="2:37" x14ac:dyDescent="0.15">
      <c r="B71" s="5">
        <v>2068</v>
      </c>
      <c r="C71" s="6" t="s">
        <v>31</v>
      </c>
      <c r="D71" s="5" t="s">
        <v>24</v>
      </c>
      <c r="E71" s="4" t="s">
        <v>100</v>
      </c>
      <c r="F71" s="4">
        <v>1</v>
      </c>
      <c r="G71" s="5">
        <v>195</v>
      </c>
      <c r="H71" s="5">
        <v>32.5</v>
      </c>
      <c r="I71" s="5">
        <v>1</v>
      </c>
      <c r="J71" s="5">
        <v>1</v>
      </c>
      <c r="K71" s="5">
        <v>1.2</v>
      </c>
      <c r="L71">
        <f t="shared" si="12"/>
        <v>32.5</v>
      </c>
      <c r="M71" s="2">
        <v>0</v>
      </c>
      <c r="N71" s="2">
        <v>0</v>
      </c>
      <c r="O71" s="2">
        <f t="shared" si="9"/>
        <v>325</v>
      </c>
      <c r="P71" s="2">
        <v>1.1950000000000001</v>
      </c>
      <c r="Q71" s="2">
        <v>1.1950000000000001</v>
      </c>
      <c r="R71" s="5" t="s">
        <v>141</v>
      </c>
      <c r="S71" s="5">
        <v>2</v>
      </c>
      <c r="X71" s="6">
        <v>1</v>
      </c>
      <c r="Y71" t="str">
        <f t="shared" si="13"/>
        <v>坦克</v>
      </c>
      <c r="Z71">
        <f t="shared" si="14"/>
        <v>1</v>
      </c>
      <c r="AA71">
        <f t="shared" si="15"/>
        <v>2</v>
      </c>
      <c r="AB71">
        <f t="shared" si="16"/>
        <v>1.2</v>
      </c>
      <c r="AC71">
        <f t="shared" si="17"/>
        <v>1</v>
      </c>
      <c r="AG71">
        <f t="shared" si="18"/>
        <v>195</v>
      </c>
      <c r="AK71">
        <f t="shared" si="19"/>
        <v>32.5</v>
      </c>
    </row>
    <row r="72" spans="2:37" x14ac:dyDescent="0.15">
      <c r="B72" s="5">
        <v>2069</v>
      </c>
      <c r="C72" s="6" t="s">
        <v>31</v>
      </c>
      <c r="D72" s="5" t="s">
        <v>24</v>
      </c>
      <c r="E72" s="4" t="s">
        <v>101</v>
      </c>
      <c r="F72" s="4">
        <v>1</v>
      </c>
      <c r="G72" s="5">
        <v>195</v>
      </c>
      <c r="H72" s="5">
        <v>32.5</v>
      </c>
      <c r="I72" s="5">
        <v>1</v>
      </c>
      <c r="J72" s="5">
        <v>1</v>
      </c>
      <c r="K72" s="5">
        <v>1.2</v>
      </c>
      <c r="L72">
        <f t="shared" si="12"/>
        <v>32.5</v>
      </c>
      <c r="M72" s="2">
        <v>0</v>
      </c>
      <c r="N72" s="2">
        <v>0</v>
      </c>
      <c r="O72" s="2">
        <f t="shared" ref="O72:O89" si="20">G72*$W$4*(1+M72)+H72*I72*(1+(J72-1)*0.15)*$W$5*(1+N72)</f>
        <v>325</v>
      </c>
      <c r="P72" s="2">
        <v>1.1950000000000001</v>
      </c>
      <c r="Q72" s="2">
        <v>1.1950000000000001</v>
      </c>
      <c r="R72" s="5" t="s">
        <v>141</v>
      </c>
      <c r="S72" s="5">
        <v>2</v>
      </c>
      <c r="X72" s="6">
        <v>1</v>
      </c>
      <c r="Y72" t="str">
        <f t="shared" si="13"/>
        <v>坦克</v>
      </c>
      <c r="Z72">
        <f t="shared" si="14"/>
        <v>1</v>
      </c>
      <c r="AA72">
        <f t="shared" si="15"/>
        <v>2</v>
      </c>
      <c r="AB72">
        <f t="shared" si="16"/>
        <v>1.2</v>
      </c>
      <c r="AC72">
        <f t="shared" si="17"/>
        <v>1</v>
      </c>
      <c r="AG72">
        <f t="shared" si="18"/>
        <v>195</v>
      </c>
      <c r="AK72">
        <f t="shared" si="19"/>
        <v>32.5</v>
      </c>
    </row>
    <row r="73" spans="2:37" x14ac:dyDescent="0.15">
      <c r="B73" s="5">
        <v>2070</v>
      </c>
      <c r="C73" s="6" t="s">
        <v>31</v>
      </c>
      <c r="D73" s="5" t="s">
        <v>24</v>
      </c>
      <c r="E73" s="4" t="s">
        <v>102</v>
      </c>
      <c r="F73" s="4">
        <v>1</v>
      </c>
      <c r="G73" s="5">
        <v>195</v>
      </c>
      <c r="H73" s="5">
        <v>32.5</v>
      </c>
      <c r="I73" s="5">
        <v>1</v>
      </c>
      <c r="J73" s="5">
        <v>1</v>
      </c>
      <c r="K73" s="5">
        <v>1.2</v>
      </c>
      <c r="L73">
        <f t="shared" si="12"/>
        <v>32.5</v>
      </c>
      <c r="M73" s="4">
        <v>0</v>
      </c>
      <c r="N73" s="4">
        <v>0</v>
      </c>
      <c r="O73" s="4">
        <f t="shared" si="20"/>
        <v>325</v>
      </c>
      <c r="P73" s="2">
        <v>1.1950000000000001</v>
      </c>
      <c r="Q73" s="2">
        <v>1.1950000000000001</v>
      </c>
      <c r="R73" s="5" t="s">
        <v>141</v>
      </c>
      <c r="S73" s="5">
        <v>2</v>
      </c>
      <c r="X73" s="6">
        <v>1</v>
      </c>
      <c r="Y73" t="str">
        <f t="shared" si="13"/>
        <v>坦克</v>
      </c>
      <c r="Z73">
        <f t="shared" si="14"/>
        <v>1</v>
      </c>
      <c r="AA73">
        <f t="shared" si="15"/>
        <v>2</v>
      </c>
      <c r="AB73">
        <f t="shared" si="16"/>
        <v>1.2</v>
      </c>
      <c r="AC73">
        <f t="shared" si="17"/>
        <v>1</v>
      </c>
      <c r="AG73">
        <f t="shared" si="18"/>
        <v>195</v>
      </c>
      <c r="AK73">
        <f t="shared" si="19"/>
        <v>32.5</v>
      </c>
    </row>
    <row r="74" spans="2:37" x14ac:dyDescent="0.15">
      <c r="B74" s="5">
        <v>2071</v>
      </c>
      <c r="C74" s="6" t="s">
        <v>31</v>
      </c>
      <c r="D74" s="5" t="s">
        <v>27</v>
      </c>
      <c r="E74" s="4" t="s">
        <v>103</v>
      </c>
      <c r="F74" s="4">
        <v>1</v>
      </c>
      <c r="G74" s="5">
        <v>82</v>
      </c>
      <c r="H74" s="5">
        <v>37.700000000000003</v>
      </c>
      <c r="I74" s="5">
        <v>1</v>
      </c>
      <c r="J74" s="5">
        <v>4</v>
      </c>
      <c r="K74" s="5">
        <v>1.2</v>
      </c>
      <c r="L74">
        <f t="shared" si="12"/>
        <v>54.664999999999999</v>
      </c>
      <c r="M74" s="4">
        <v>0</v>
      </c>
      <c r="N74" s="4">
        <v>0</v>
      </c>
      <c r="O74" s="4">
        <f t="shared" si="20"/>
        <v>300.65999999999997</v>
      </c>
      <c r="P74" s="2">
        <v>1.1950000000000001</v>
      </c>
      <c r="Q74" s="2">
        <v>1.1950000000000001</v>
      </c>
      <c r="R74" s="5" t="s">
        <v>141</v>
      </c>
      <c r="S74" s="5">
        <v>1</v>
      </c>
      <c r="X74" s="6">
        <v>3</v>
      </c>
      <c r="Y74" t="str">
        <f t="shared" si="13"/>
        <v>远程</v>
      </c>
      <c r="Z74">
        <f t="shared" si="14"/>
        <v>4</v>
      </c>
      <c r="AA74">
        <f t="shared" si="15"/>
        <v>1</v>
      </c>
      <c r="AB74">
        <f t="shared" si="16"/>
        <v>1.2</v>
      </c>
      <c r="AC74">
        <f t="shared" si="17"/>
        <v>1</v>
      </c>
      <c r="AG74">
        <f t="shared" si="18"/>
        <v>82</v>
      </c>
      <c r="AK74">
        <f t="shared" si="19"/>
        <v>37.700000000000003</v>
      </c>
    </row>
    <row r="75" spans="2:37" x14ac:dyDescent="0.15">
      <c r="B75" s="5">
        <v>2072</v>
      </c>
      <c r="C75" s="6" t="s">
        <v>31</v>
      </c>
      <c r="D75" s="5" t="s">
        <v>26</v>
      </c>
      <c r="E75" s="4" t="s">
        <v>104</v>
      </c>
      <c r="F75" s="2">
        <v>1</v>
      </c>
      <c r="G75" s="5">
        <v>143</v>
      </c>
      <c r="H75" s="5">
        <v>35.75</v>
      </c>
      <c r="I75" s="5">
        <v>1</v>
      </c>
      <c r="J75" s="5">
        <v>1</v>
      </c>
      <c r="K75" s="5">
        <v>1.2</v>
      </c>
      <c r="L75">
        <f t="shared" si="12"/>
        <v>35.75</v>
      </c>
      <c r="M75" s="4">
        <v>0</v>
      </c>
      <c r="N75" s="4">
        <v>0</v>
      </c>
      <c r="O75" s="4">
        <f t="shared" si="20"/>
        <v>286</v>
      </c>
      <c r="P75" s="2">
        <v>1.1950000000000001</v>
      </c>
      <c r="Q75" s="2">
        <v>1.1950000000000001</v>
      </c>
      <c r="R75" s="5" t="s">
        <v>141</v>
      </c>
      <c r="S75" s="5">
        <v>1</v>
      </c>
      <c r="X75" s="6">
        <v>2</v>
      </c>
      <c r="Y75" t="str">
        <f t="shared" si="13"/>
        <v>近战</v>
      </c>
      <c r="Z75">
        <f t="shared" si="14"/>
        <v>1</v>
      </c>
      <c r="AA75">
        <f t="shared" si="15"/>
        <v>1</v>
      </c>
      <c r="AB75">
        <f t="shared" si="16"/>
        <v>1.2</v>
      </c>
      <c r="AC75">
        <f t="shared" si="17"/>
        <v>1</v>
      </c>
      <c r="AG75">
        <f t="shared" si="18"/>
        <v>143</v>
      </c>
      <c r="AK75">
        <f t="shared" si="19"/>
        <v>35.75</v>
      </c>
    </row>
    <row r="76" spans="2:37" x14ac:dyDescent="0.15">
      <c r="B76" s="5">
        <v>2073</v>
      </c>
      <c r="C76" s="6" t="s">
        <v>31</v>
      </c>
      <c r="D76" s="5" t="s">
        <v>33</v>
      </c>
      <c r="E76" s="4" t="s">
        <v>106</v>
      </c>
      <c r="F76" s="2">
        <v>1</v>
      </c>
      <c r="G76" s="5">
        <v>106</v>
      </c>
      <c r="H76" s="5">
        <v>26</v>
      </c>
      <c r="I76" s="5">
        <v>2</v>
      </c>
      <c r="J76" s="5">
        <v>1</v>
      </c>
      <c r="K76" s="5">
        <v>2.5</v>
      </c>
      <c r="L76">
        <f t="shared" si="12"/>
        <v>52</v>
      </c>
      <c r="M76" s="2">
        <v>0</v>
      </c>
      <c r="N76" s="2">
        <v>0</v>
      </c>
      <c r="O76" s="2">
        <f t="shared" si="20"/>
        <v>314</v>
      </c>
      <c r="P76" s="2">
        <v>1.1950000000000001</v>
      </c>
      <c r="Q76" s="2">
        <v>1.1950000000000001</v>
      </c>
      <c r="R76" s="5" t="s">
        <v>141</v>
      </c>
      <c r="S76" s="5">
        <v>1</v>
      </c>
      <c r="X76" s="6">
        <v>4</v>
      </c>
      <c r="Y76" t="str">
        <f t="shared" si="13"/>
        <v>刺客</v>
      </c>
      <c r="Z76">
        <f t="shared" si="14"/>
        <v>1</v>
      </c>
      <c r="AA76">
        <f t="shared" si="15"/>
        <v>1</v>
      </c>
      <c r="AB76">
        <f t="shared" si="16"/>
        <v>2.5</v>
      </c>
      <c r="AC76">
        <f t="shared" si="17"/>
        <v>2</v>
      </c>
      <c r="AG76">
        <f t="shared" si="18"/>
        <v>106</v>
      </c>
      <c r="AK76">
        <f t="shared" si="19"/>
        <v>26</v>
      </c>
    </row>
    <row r="77" spans="2:37" x14ac:dyDescent="0.15">
      <c r="B77" s="5">
        <v>2074</v>
      </c>
      <c r="C77" s="6" t="s">
        <v>32</v>
      </c>
      <c r="D77" s="5" t="s">
        <v>26</v>
      </c>
      <c r="E77" s="4" t="s">
        <v>107</v>
      </c>
      <c r="F77" s="2">
        <v>1</v>
      </c>
      <c r="G77" s="5">
        <v>110</v>
      </c>
      <c r="H77" s="5">
        <v>32</v>
      </c>
      <c r="I77" s="5">
        <v>1</v>
      </c>
      <c r="J77" s="5">
        <v>1</v>
      </c>
      <c r="K77" s="5">
        <v>1.2</v>
      </c>
      <c r="L77">
        <f t="shared" si="12"/>
        <v>32</v>
      </c>
      <c r="M77" s="2">
        <v>0</v>
      </c>
      <c r="N77" s="2">
        <v>0</v>
      </c>
      <c r="O77" s="2">
        <f t="shared" si="20"/>
        <v>238</v>
      </c>
      <c r="P77" s="2">
        <v>1.1950000000000001</v>
      </c>
      <c r="Q77" s="2">
        <v>1.1950000000000001</v>
      </c>
      <c r="R77" s="5" t="s">
        <v>141</v>
      </c>
      <c r="S77" s="5">
        <v>1</v>
      </c>
      <c r="X77" s="6">
        <v>2</v>
      </c>
      <c r="Y77" t="str">
        <f t="shared" si="13"/>
        <v>近战</v>
      </c>
      <c r="Z77">
        <f t="shared" si="14"/>
        <v>1</v>
      </c>
      <c r="AA77">
        <f t="shared" si="15"/>
        <v>1</v>
      </c>
      <c r="AB77">
        <f t="shared" si="16"/>
        <v>1.2</v>
      </c>
      <c r="AC77">
        <f t="shared" si="17"/>
        <v>1</v>
      </c>
      <c r="AG77">
        <f t="shared" si="18"/>
        <v>110</v>
      </c>
      <c r="AK77">
        <f t="shared" si="19"/>
        <v>32</v>
      </c>
    </row>
    <row r="78" spans="2:37" x14ac:dyDescent="0.15">
      <c r="B78" s="5">
        <v>2075</v>
      </c>
      <c r="C78" s="6" t="s">
        <v>32</v>
      </c>
      <c r="D78" s="5" t="s">
        <v>26</v>
      </c>
      <c r="E78" s="4" t="s">
        <v>108</v>
      </c>
      <c r="F78" s="4">
        <v>1</v>
      </c>
      <c r="G78" s="5">
        <v>110</v>
      </c>
      <c r="H78" s="5">
        <v>32</v>
      </c>
      <c r="I78" s="5">
        <v>1</v>
      </c>
      <c r="J78" s="5">
        <v>1</v>
      </c>
      <c r="K78" s="5">
        <v>1.2</v>
      </c>
      <c r="L78">
        <f t="shared" si="12"/>
        <v>32</v>
      </c>
      <c r="M78" s="2">
        <v>0</v>
      </c>
      <c r="N78" s="2">
        <v>0</v>
      </c>
      <c r="O78" s="2">
        <f t="shared" si="20"/>
        <v>238</v>
      </c>
      <c r="P78" s="2">
        <v>1.1950000000000001</v>
      </c>
      <c r="Q78" s="2">
        <v>1.1950000000000001</v>
      </c>
      <c r="R78" s="5" t="s">
        <v>141</v>
      </c>
      <c r="S78" s="5">
        <v>1</v>
      </c>
      <c r="X78" s="6">
        <v>2</v>
      </c>
      <c r="Y78" t="str">
        <f t="shared" si="13"/>
        <v>近战</v>
      </c>
      <c r="Z78">
        <f t="shared" si="14"/>
        <v>1</v>
      </c>
      <c r="AA78">
        <f t="shared" si="15"/>
        <v>1</v>
      </c>
      <c r="AB78">
        <f t="shared" si="16"/>
        <v>1.2</v>
      </c>
      <c r="AC78">
        <f t="shared" si="17"/>
        <v>1</v>
      </c>
      <c r="AG78">
        <f t="shared" si="18"/>
        <v>110</v>
      </c>
      <c r="AK78">
        <f t="shared" si="19"/>
        <v>32</v>
      </c>
    </row>
    <row r="79" spans="2:37" x14ac:dyDescent="0.15">
      <c r="B79" s="5">
        <v>2076</v>
      </c>
      <c r="C79" s="6" t="s">
        <v>32</v>
      </c>
      <c r="D79" s="5" t="s">
        <v>24</v>
      </c>
      <c r="E79" s="4" t="s">
        <v>109</v>
      </c>
      <c r="F79" s="4">
        <v>1</v>
      </c>
      <c r="G79" s="5">
        <v>150</v>
      </c>
      <c r="H79" s="5">
        <v>25</v>
      </c>
      <c r="I79" s="5">
        <v>1</v>
      </c>
      <c r="J79" s="5">
        <v>1</v>
      </c>
      <c r="K79" s="5">
        <v>1.2</v>
      </c>
      <c r="L79">
        <f t="shared" si="12"/>
        <v>25</v>
      </c>
      <c r="M79" s="2">
        <v>0</v>
      </c>
      <c r="N79" s="2">
        <v>0</v>
      </c>
      <c r="O79" s="2">
        <f t="shared" si="20"/>
        <v>250</v>
      </c>
      <c r="P79" s="2">
        <v>1.1950000000000001</v>
      </c>
      <c r="Q79" s="2">
        <v>1.1950000000000001</v>
      </c>
      <c r="R79" s="5" t="s">
        <v>141</v>
      </c>
      <c r="S79" s="5">
        <v>2</v>
      </c>
      <c r="X79" s="6">
        <v>1</v>
      </c>
      <c r="Y79" t="str">
        <f t="shared" si="13"/>
        <v>坦克</v>
      </c>
      <c r="Z79">
        <f t="shared" si="14"/>
        <v>1</v>
      </c>
      <c r="AA79">
        <f t="shared" si="15"/>
        <v>2</v>
      </c>
      <c r="AB79">
        <f t="shared" si="16"/>
        <v>1.2</v>
      </c>
      <c r="AC79">
        <f t="shared" si="17"/>
        <v>1</v>
      </c>
      <c r="AG79">
        <f t="shared" si="18"/>
        <v>150</v>
      </c>
      <c r="AK79">
        <f t="shared" si="19"/>
        <v>25</v>
      </c>
    </row>
    <row r="80" spans="2:37" x14ac:dyDescent="0.15">
      <c r="B80" s="5">
        <v>2077</v>
      </c>
      <c r="C80" s="6" t="s">
        <v>32</v>
      </c>
      <c r="D80" s="5" t="s">
        <v>24</v>
      </c>
      <c r="E80" s="4" t="s">
        <v>110</v>
      </c>
      <c r="F80" s="4">
        <v>1</v>
      </c>
      <c r="G80" s="5">
        <v>150</v>
      </c>
      <c r="H80" s="5">
        <v>25</v>
      </c>
      <c r="I80" s="5">
        <v>1</v>
      </c>
      <c r="J80" s="5">
        <v>1</v>
      </c>
      <c r="K80" s="5">
        <v>1.2</v>
      </c>
      <c r="L80">
        <f t="shared" si="12"/>
        <v>25</v>
      </c>
      <c r="M80" s="2">
        <v>0</v>
      </c>
      <c r="N80" s="2">
        <v>0</v>
      </c>
      <c r="O80" s="2">
        <f t="shared" si="20"/>
        <v>250</v>
      </c>
      <c r="P80" s="2">
        <v>1.1950000000000001</v>
      </c>
      <c r="Q80" s="2">
        <v>1.1950000000000001</v>
      </c>
      <c r="R80" s="5" t="s">
        <v>141</v>
      </c>
      <c r="S80" s="5">
        <v>2</v>
      </c>
      <c r="X80" s="6">
        <v>1</v>
      </c>
      <c r="Y80" t="str">
        <f t="shared" si="13"/>
        <v>坦克</v>
      </c>
      <c r="Z80">
        <f t="shared" si="14"/>
        <v>1</v>
      </c>
      <c r="AA80">
        <f t="shared" si="15"/>
        <v>2</v>
      </c>
      <c r="AB80">
        <f t="shared" si="16"/>
        <v>1.2</v>
      </c>
      <c r="AC80">
        <f t="shared" si="17"/>
        <v>1</v>
      </c>
      <c r="AG80">
        <f t="shared" si="18"/>
        <v>150</v>
      </c>
      <c r="AK80">
        <f t="shared" si="19"/>
        <v>25</v>
      </c>
    </row>
    <row r="81" spans="2:37" x14ac:dyDescent="0.15">
      <c r="B81" s="5">
        <v>2078</v>
      </c>
      <c r="C81" s="6" t="s">
        <v>32</v>
      </c>
      <c r="D81" s="5" t="s">
        <v>26</v>
      </c>
      <c r="E81" s="4" t="s">
        <v>112</v>
      </c>
      <c r="F81" s="4">
        <v>1</v>
      </c>
      <c r="G81" s="5">
        <v>110</v>
      </c>
      <c r="H81" s="5">
        <v>32</v>
      </c>
      <c r="I81" s="5">
        <v>1</v>
      </c>
      <c r="J81" s="5">
        <v>1</v>
      </c>
      <c r="K81" s="5">
        <v>1.2</v>
      </c>
      <c r="L81">
        <f t="shared" si="12"/>
        <v>32</v>
      </c>
      <c r="M81" s="4">
        <v>0</v>
      </c>
      <c r="N81" s="4">
        <v>0</v>
      </c>
      <c r="O81" s="4">
        <f t="shared" si="20"/>
        <v>238</v>
      </c>
      <c r="P81" s="2">
        <v>1.1950000000000001</v>
      </c>
      <c r="Q81" s="2">
        <v>1.1950000000000001</v>
      </c>
      <c r="R81" s="5" t="s">
        <v>141</v>
      </c>
      <c r="S81" s="5">
        <v>1</v>
      </c>
      <c r="X81" s="6">
        <v>2</v>
      </c>
      <c r="Y81" t="str">
        <f t="shared" si="13"/>
        <v>近战</v>
      </c>
      <c r="Z81">
        <f t="shared" si="14"/>
        <v>1</v>
      </c>
      <c r="AA81">
        <f t="shared" si="15"/>
        <v>1</v>
      </c>
      <c r="AB81">
        <f t="shared" si="16"/>
        <v>1.2</v>
      </c>
      <c r="AC81">
        <f t="shared" si="17"/>
        <v>1</v>
      </c>
      <c r="AG81">
        <f t="shared" si="18"/>
        <v>110</v>
      </c>
      <c r="AK81">
        <f t="shared" si="19"/>
        <v>32</v>
      </c>
    </row>
    <row r="82" spans="2:37" x14ac:dyDescent="0.15">
      <c r="B82" s="5">
        <v>2079</v>
      </c>
      <c r="C82" s="6" t="s">
        <v>32</v>
      </c>
      <c r="D82" s="5" t="s">
        <v>33</v>
      </c>
      <c r="E82" s="4" t="s">
        <v>111</v>
      </c>
      <c r="F82" s="2">
        <v>1</v>
      </c>
      <c r="G82" s="5">
        <v>82</v>
      </c>
      <c r="H82" s="5">
        <v>20</v>
      </c>
      <c r="I82" s="5">
        <v>2</v>
      </c>
      <c r="J82" s="5">
        <v>1</v>
      </c>
      <c r="K82" s="5">
        <v>2.5</v>
      </c>
      <c r="L82">
        <f t="shared" si="12"/>
        <v>40</v>
      </c>
      <c r="M82" s="4">
        <v>0</v>
      </c>
      <c r="N82" s="4">
        <v>0</v>
      </c>
      <c r="O82" s="4">
        <f t="shared" si="20"/>
        <v>242</v>
      </c>
      <c r="P82" s="2">
        <v>1.1950000000000001</v>
      </c>
      <c r="Q82" s="2">
        <v>1.1950000000000001</v>
      </c>
      <c r="R82" s="5" t="s">
        <v>141</v>
      </c>
      <c r="S82" s="5">
        <v>1</v>
      </c>
      <c r="X82" s="6">
        <v>4</v>
      </c>
      <c r="Y82" t="str">
        <f t="shared" si="13"/>
        <v>刺客</v>
      </c>
      <c r="Z82">
        <f t="shared" si="14"/>
        <v>1</v>
      </c>
      <c r="AA82">
        <f t="shared" si="15"/>
        <v>1</v>
      </c>
      <c r="AB82">
        <f t="shared" si="16"/>
        <v>2.5</v>
      </c>
      <c r="AC82">
        <f t="shared" si="17"/>
        <v>2</v>
      </c>
      <c r="AG82">
        <f t="shared" si="18"/>
        <v>82</v>
      </c>
      <c r="AK82">
        <f t="shared" si="19"/>
        <v>20</v>
      </c>
    </row>
    <row r="83" spans="2:37" x14ac:dyDescent="0.15">
      <c r="B83" s="5">
        <v>2080</v>
      </c>
      <c r="C83" s="6" t="s">
        <v>31</v>
      </c>
      <c r="D83" s="5" t="s">
        <v>26</v>
      </c>
      <c r="E83" s="4" t="s">
        <v>113</v>
      </c>
      <c r="F83" s="2">
        <v>1</v>
      </c>
      <c r="G83" s="5">
        <v>143</v>
      </c>
      <c r="H83" s="5">
        <v>35.75</v>
      </c>
      <c r="I83" s="5">
        <v>1</v>
      </c>
      <c r="J83" s="5">
        <v>1</v>
      </c>
      <c r="K83" s="5">
        <v>1.2</v>
      </c>
      <c r="L83">
        <f t="shared" si="12"/>
        <v>35.75</v>
      </c>
      <c r="M83" s="4">
        <v>0</v>
      </c>
      <c r="N83" s="4">
        <v>0</v>
      </c>
      <c r="O83" s="4">
        <f t="shared" si="20"/>
        <v>286</v>
      </c>
      <c r="P83" s="2">
        <v>1.1950000000000001</v>
      </c>
      <c r="Q83" s="2">
        <v>1.1950000000000001</v>
      </c>
      <c r="R83" s="5" t="s">
        <v>141</v>
      </c>
      <c r="S83" s="5">
        <v>1</v>
      </c>
      <c r="X83" s="6">
        <v>2</v>
      </c>
      <c r="Y83" t="str">
        <f t="shared" si="13"/>
        <v>近战</v>
      </c>
      <c r="Z83">
        <f t="shared" si="14"/>
        <v>1</v>
      </c>
      <c r="AA83">
        <f t="shared" si="15"/>
        <v>1</v>
      </c>
      <c r="AB83">
        <f t="shared" si="16"/>
        <v>1.2</v>
      </c>
      <c r="AC83">
        <f t="shared" si="17"/>
        <v>1</v>
      </c>
      <c r="AG83">
        <f t="shared" si="18"/>
        <v>143</v>
      </c>
      <c r="AK83">
        <f t="shared" si="19"/>
        <v>35.75</v>
      </c>
    </row>
    <row r="84" spans="2:37" x14ac:dyDescent="0.15">
      <c r="B84" s="5">
        <v>2081</v>
      </c>
      <c r="C84" s="6" t="s">
        <v>31</v>
      </c>
      <c r="D84" s="5" t="s">
        <v>26</v>
      </c>
      <c r="E84" s="4" t="s">
        <v>114</v>
      </c>
      <c r="F84" s="2">
        <v>1</v>
      </c>
      <c r="G84" s="5">
        <v>143</v>
      </c>
      <c r="H84" s="5">
        <v>35.75</v>
      </c>
      <c r="I84" s="5">
        <v>1</v>
      </c>
      <c r="J84" s="5">
        <v>1</v>
      </c>
      <c r="K84" s="5">
        <v>1.2</v>
      </c>
      <c r="L84">
        <f t="shared" si="12"/>
        <v>35.75</v>
      </c>
      <c r="M84" s="2">
        <v>0</v>
      </c>
      <c r="N84" s="2">
        <v>0</v>
      </c>
      <c r="O84" s="2">
        <f t="shared" si="20"/>
        <v>286</v>
      </c>
      <c r="P84" s="2">
        <v>1.1950000000000001</v>
      </c>
      <c r="Q84" s="2">
        <v>1.1950000000000001</v>
      </c>
      <c r="R84" s="5" t="s">
        <v>141</v>
      </c>
      <c r="S84" s="5">
        <v>1</v>
      </c>
      <c r="X84" s="6">
        <v>2</v>
      </c>
      <c r="Y84" t="str">
        <f t="shared" si="13"/>
        <v>近战</v>
      </c>
      <c r="Z84">
        <f t="shared" si="14"/>
        <v>1</v>
      </c>
      <c r="AA84">
        <f t="shared" si="15"/>
        <v>1</v>
      </c>
      <c r="AB84">
        <f t="shared" si="16"/>
        <v>1.2</v>
      </c>
      <c r="AC84">
        <f t="shared" si="17"/>
        <v>1</v>
      </c>
      <c r="AG84">
        <f t="shared" si="18"/>
        <v>143</v>
      </c>
      <c r="AK84">
        <f t="shared" si="19"/>
        <v>35.75</v>
      </c>
    </row>
    <row r="85" spans="2:37" x14ac:dyDescent="0.15">
      <c r="B85" s="5">
        <v>2082</v>
      </c>
      <c r="C85" s="6" t="s">
        <v>31</v>
      </c>
      <c r="D85" s="5" t="s">
        <v>24</v>
      </c>
      <c r="E85" s="4" t="s">
        <v>115</v>
      </c>
      <c r="F85" s="4">
        <v>1</v>
      </c>
      <c r="G85" s="5">
        <v>195</v>
      </c>
      <c r="H85" s="5">
        <v>32.5</v>
      </c>
      <c r="I85" s="5">
        <v>1</v>
      </c>
      <c r="J85" s="5">
        <v>1</v>
      </c>
      <c r="K85" s="5">
        <v>1.2</v>
      </c>
      <c r="L85">
        <f t="shared" si="12"/>
        <v>32.5</v>
      </c>
      <c r="M85" s="2">
        <v>0</v>
      </c>
      <c r="N85" s="2">
        <v>0</v>
      </c>
      <c r="O85" s="2">
        <f t="shared" si="20"/>
        <v>325</v>
      </c>
      <c r="P85" s="2">
        <v>1.1950000000000001</v>
      </c>
      <c r="Q85" s="2">
        <v>1.1950000000000001</v>
      </c>
      <c r="R85" s="5" t="s">
        <v>141</v>
      </c>
      <c r="S85" s="5">
        <v>2</v>
      </c>
      <c r="X85" s="6">
        <v>1</v>
      </c>
      <c r="Y85" t="str">
        <f t="shared" si="13"/>
        <v>坦克</v>
      </c>
      <c r="Z85">
        <f t="shared" si="14"/>
        <v>1</v>
      </c>
      <c r="AA85">
        <f t="shared" si="15"/>
        <v>2</v>
      </c>
      <c r="AB85">
        <f t="shared" si="16"/>
        <v>1.2</v>
      </c>
      <c r="AC85">
        <f t="shared" si="17"/>
        <v>1</v>
      </c>
      <c r="AG85">
        <f t="shared" si="18"/>
        <v>195</v>
      </c>
      <c r="AK85">
        <f t="shared" si="19"/>
        <v>32.5</v>
      </c>
    </row>
    <row r="86" spans="2:37" x14ac:dyDescent="0.15">
      <c r="B86" s="5">
        <v>2083</v>
      </c>
      <c r="C86" s="6" t="s">
        <v>31</v>
      </c>
      <c r="D86" s="5" t="s">
        <v>24</v>
      </c>
      <c r="E86" s="4" t="s">
        <v>116</v>
      </c>
      <c r="F86" s="4">
        <v>1</v>
      </c>
      <c r="G86" s="5">
        <v>195</v>
      </c>
      <c r="H86" s="5">
        <v>32.5</v>
      </c>
      <c r="I86" s="5">
        <v>1</v>
      </c>
      <c r="J86" s="5">
        <v>1</v>
      </c>
      <c r="K86" s="5">
        <v>1.2</v>
      </c>
      <c r="L86">
        <f t="shared" si="12"/>
        <v>32.5</v>
      </c>
      <c r="M86" s="2">
        <v>0</v>
      </c>
      <c r="N86" s="2">
        <v>0</v>
      </c>
      <c r="O86" s="2">
        <f t="shared" si="20"/>
        <v>325</v>
      </c>
      <c r="P86" s="2">
        <v>1.1950000000000001</v>
      </c>
      <c r="Q86" s="2">
        <v>1.1950000000000001</v>
      </c>
      <c r="R86" s="5" t="s">
        <v>141</v>
      </c>
      <c r="S86" s="5">
        <v>2</v>
      </c>
      <c r="X86" s="6">
        <v>1</v>
      </c>
      <c r="Y86" t="str">
        <f t="shared" si="13"/>
        <v>坦克</v>
      </c>
      <c r="Z86">
        <f t="shared" si="14"/>
        <v>1</v>
      </c>
      <c r="AA86">
        <f t="shared" si="15"/>
        <v>2</v>
      </c>
      <c r="AB86">
        <f t="shared" si="16"/>
        <v>1.2</v>
      </c>
      <c r="AC86">
        <f t="shared" si="17"/>
        <v>1</v>
      </c>
      <c r="AG86">
        <f t="shared" si="18"/>
        <v>195</v>
      </c>
      <c r="AK86">
        <f t="shared" si="19"/>
        <v>32.5</v>
      </c>
    </row>
    <row r="87" spans="2:37" x14ac:dyDescent="0.15">
      <c r="B87" s="5">
        <v>2084</v>
      </c>
      <c r="C87" s="6" t="s">
        <v>31</v>
      </c>
      <c r="D87" s="5" t="s">
        <v>26</v>
      </c>
      <c r="E87" s="4" t="s">
        <v>117</v>
      </c>
      <c r="F87" s="4">
        <v>1</v>
      </c>
      <c r="G87" s="5">
        <v>143</v>
      </c>
      <c r="H87" s="5">
        <v>35.75</v>
      </c>
      <c r="I87" s="5">
        <v>1</v>
      </c>
      <c r="J87" s="5">
        <v>1</v>
      </c>
      <c r="K87" s="5">
        <v>1.2</v>
      </c>
      <c r="L87">
        <f t="shared" si="12"/>
        <v>35.75</v>
      </c>
      <c r="M87" s="2">
        <v>0</v>
      </c>
      <c r="N87" s="2">
        <v>0</v>
      </c>
      <c r="O87" s="2">
        <f t="shared" si="20"/>
        <v>286</v>
      </c>
      <c r="P87" s="2">
        <v>1.1950000000000001</v>
      </c>
      <c r="Q87" s="2">
        <v>1.1950000000000001</v>
      </c>
      <c r="R87" s="5" t="s">
        <v>141</v>
      </c>
      <c r="S87" s="5">
        <v>1</v>
      </c>
      <c r="X87" s="6">
        <v>2</v>
      </c>
      <c r="Y87" t="str">
        <f t="shared" si="13"/>
        <v>近战</v>
      </c>
      <c r="Z87">
        <f t="shared" si="14"/>
        <v>1</v>
      </c>
      <c r="AA87">
        <f t="shared" si="15"/>
        <v>1</v>
      </c>
      <c r="AB87">
        <f t="shared" si="16"/>
        <v>1.2</v>
      </c>
      <c r="AC87">
        <f t="shared" si="17"/>
        <v>1</v>
      </c>
      <c r="AG87">
        <f t="shared" si="18"/>
        <v>143</v>
      </c>
      <c r="AK87">
        <f t="shared" si="19"/>
        <v>35.75</v>
      </c>
    </row>
    <row r="88" spans="2:37" x14ac:dyDescent="0.15">
      <c r="B88" s="5">
        <v>2085</v>
      </c>
      <c r="C88" s="6" t="s">
        <v>31</v>
      </c>
      <c r="D88" s="5" t="s">
        <v>33</v>
      </c>
      <c r="E88" s="4" t="s">
        <v>118</v>
      </c>
      <c r="F88" s="4">
        <v>1</v>
      </c>
      <c r="G88" s="5">
        <v>106</v>
      </c>
      <c r="H88" s="5">
        <v>26</v>
      </c>
      <c r="I88" s="5">
        <v>2</v>
      </c>
      <c r="J88" s="5">
        <v>1</v>
      </c>
      <c r="K88" s="5">
        <v>2.5</v>
      </c>
      <c r="L88">
        <f t="shared" si="12"/>
        <v>52</v>
      </c>
      <c r="M88" s="2">
        <v>0</v>
      </c>
      <c r="N88" s="2">
        <v>0</v>
      </c>
      <c r="O88" s="2">
        <f t="shared" si="20"/>
        <v>314</v>
      </c>
      <c r="P88" s="2">
        <v>1.1950000000000001</v>
      </c>
      <c r="Q88" s="2">
        <v>1.1950000000000001</v>
      </c>
      <c r="R88" s="5" t="s">
        <v>141</v>
      </c>
      <c r="S88" s="5">
        <v>1</v>
      </c>
      <c r="X88" s="6">
        <v>4</v>
      </c>
      <c r="Y88" t="str">
        <f t="shared" si="13"/>
        <v>刺客</v>
      </c>
      <c r="Z88">
        <f t="shared" si="14"/>
        <v>1</v>
      </c>
      <c r="AA88">
        <f t="shared" si="15"/>
        <v>1</v>
      </c>
      <c r="AB88">
        <f t="shared" si="16"/>
        <v>2.5</v>
      </c>
      <c r="AC88">
        <f t="shared" si="17"/>
        <v>2</v>
      </c>
      <c r="AG88">
        <f t="shared" si="18"/>
        <v>106</v>
      </c>
      <c r="AK88">
        <f t="shared" si="19"/>
        <v>26</v>
      </c>
    </row>
    <row r="89" spans="2:37" x14ac:dyDescent="0.15">
      <c r="B89" s="5">
        <v>2086</v>
      </c>
      <c r="C89" s="9" t="s">
        <v>142</v>
      </c>
      <c r="D89" s="5" t="s">
        <v>143</v>
      </c>
      <c r="E89" s="4" t="s">
        <v>144</v>
      </c>
      <c r="F89" s="4">
        <v>1</v>
      </c>
      <c r="G89" s="4">
        <v>143</v>
      </c>
      <c r="H89" s="4">
        <v>35.75</v>
      </c>
      <c r="I89" s="4">
        <v>1</v>
      </c>
      <c r="J89" s="4">
        <v>1</v>
      </c>
      <c r="K89" s="4">
        <v>1.2</v>
      </c>
      <c r="L89">
        <f t="shared" si="12"/>
        <v>35.75</v>
      </c>
      <c r="M89" s="4">
        <v>0</v>
      </c>
      <c r="N89" s="4">
        <v>0</v>
      </c>
      <c r="O89" s="4">
        <f t="shared" si="20"/>
        <v>286</v>
      </c>
      <c r="P89" s="2">
        <v>1.1950000000000001</v>
      </c>
      <c r="Q89" s="2">
        <v>1.1950000000000001</v>
      </c>
      <c r="R89" s="2" t="s">
        <v>146</v>
      </c>
      <c r="S89" s="4">
        <v>1</v>
      </c>
      <c r="Z89" s="10">
        <f t="shared" si="14"/>
        <v>1</v>
      </c>
      <c r="AA89" s="10">
        <f t="shared" si="15"/>
        <v>1</v>
      </c>
      <c r="AB89" s="10">
        <f t="shared" si="16"/>
        <v>1.2</v>
      </c>
      <c r="AC89" s="10">
        <f t="shared" si="17"/>
        <v>1</v>
      </c>
      <c r="AG89" s="10">
        <f t="shared" si="18"/>
        <v>143</v>
      </c>
      <c r="AK89" s="10">
        <f t="shared" si="19"/>
        <v>35.75</v>
      </c>
    </row>
    <row r="99" spans="7:7" x14ac:dyDescent="0.15">
      <c r="G99" s="2"/>
    </row>
    <row r="100" spans="7:7" x14ac:dyDescent="0.15">
      <c r="G100" s="2"/>
    </row>
    <row r="101" spans="7:7" x14ac:dyDescent="0.15">
      <c r="G101" s="2"/>
    </row>
    <row r="102" spans="7:7" x14ac:dyDescent="0.15">
      <c r="G102" s="2"/>
    </row>
    <row r="103" spans="7:7" x14ac:dyDescent="0.15">
      <c r="G103" s="2"/>
    </row>
    <row r="104" spans="7:7" x14ac:dyDescent="0.15">
      <c r="G104" s="4"/>
    </row>
    <row r="105" spans="7:7" x14ac:dyDescent="0.15">
      <c r="G105" s="4"/>
    </row>
    <row r="106" spans="7:7" x14ac:dyDescent="0.15">
      <c r="G106" s="4"/>
    </row>
    <row r="107" spans="7:7" x14ac:dyDescent="0.15">
      <c r="G107" s="4"/>
    </row>
    <row r="108" spans="7:7" x14ac:dyDescent="0.15">
      <c r="G108" s="4"/>
    </row>
    <row r="109" spans="7:7" x14ac:dyDescent="0.15">
      <c r="G109" s="4"/>
    </row>
    <row r="110" spans="7:7" x14ac:dyDescent="0.15">
      <c r="G110" s="4"/>
    </row>
    <row r="111" spans="7:7" x14ac:dyDescent="0.15">
      <c r="G111" s="4"/>
    </row>
    <row r="112" spans="7:7" x14ac:dyDescent="0.15">
      <c r="G112" s="4"/>
    </row>
    <row r="184" spans="7:7" x14ac:dyDescent="0.15">
      <c r="G184" s="4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怪物初始属性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2025-05-09T16:29:52Z</dcterms:created>
  <dcterms:modified xsi:type="dcterms:W3CDTF">2025-06-09T10:12:18Z</dcterms:modified>
</cp:coreProperties>
</file>