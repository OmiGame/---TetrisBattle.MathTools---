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H:\悠手好闲\铁头工作室\方块项目设计案\《冲王》数值_cursor\LubanConfig\MiniTemplate\Datas\基础数据\"/>
    </mc:Choice>
  </mc:AlternateContent>
  <bookViews>
    <workbookView xWindow="0" yWindow="0" windowWidth="28800" windowHeight="12210"/>
  </bookViews>
  <sheets>
    <sheet name="怪物初始属性" sheetId="1" r:id="rId1"/>
  </sheets>
  <calcPr calcId="162913"/>
</workbook>
</file>

<file path=xl/calcChain.xml><?xml version="1.0" encoding="utf-8"?>
<calcChain xmlns="http://schemas.openxmlformats.org/spreadsheetml/2006/main">
  <c r="O11" i="1" l="1"/>
  <c r="O10" i="1"/>
  <c r="O9" i="1"/>
  <c r="L10" i="1"/>
  <c r="L11" i="1"/>
  <c r="L4" i="1"/>
  <c r="L5" i="1"/>
  <c r="L6" i="1"/>
  <c r="L7" i="1"/>
  <c r="L8" i="1"/>
  <c r="L9" i="1"/>
  <c r="O8" i="1" l="1"/>
  <c r="O5" i="1" l="1"/>
  <c r="O6" i="1"/>
  <c r="O7" i="1"/>
  <c r="O4" i="1"/>
</calcChain>
</file>

<file path=xl/sharedStrings.xml><?xml version="1.0" encoding="utf-8"?>
<sst xmlns="http://schemas.openxmlformats.org/spreadsheetml/2006/main" count="91" uniqueCount="47">
  <si>
    <t>##var</t>
  </si>
  <si>
    <t>等级</t>
  </si>
  <si>
    <t>血量</t>
  </si>
  <si>
    <t>攻击力</t>
  </si>
  <si>
    <t>攻速</t>
  </si>
  <si>
    <t>攻击范围</t>
  </si>
  <si>
    <t>移动速度</t>
  </si>
  <si>
    <t>DPS</t>
  </si>
  <si>
    <t>血量特效倍率</t>
  </si>
  <si>
    <t>DPS特效倍率</t>
  </si>
  <si>
    <t>战力</t>
  </si>
  <si>
    <t>品质</t>
  </si>
  <si>
    <t>职业</t>
  </si>
  <si>
    <t>名称</t>
  </si>
  <si>
    <t>血量成长倍率</t>
  </si>
  <si>
    <t>攻击力成长倍率</t>
  </si>
  <si>
    <t>怪物编号</t>
  </si>
  <si>
    <t>适配地图</t>
  </si>
  <si>
    <t>对塔伤害</t>
  </si>
  <si>
    <t>##type</t>
  </si>
  <si>
    <t>string</t>
  </si>
  <si>
    <t>int</t>
  </si>
  <si>
    <t>float</t>
  </si>
  <si>
    <t>##</t>
  </si>
  <si>
    <t>普通</t>
  </si>
  <si>
    <t>坦克</t>
  </si>
  <si>
    <t>普通坦克</t>
  </si>
  <si>
    <t>精英</t>
  </si>
  <si>
    <t>萨哈比精英坦克</t>
  </si>
  <si>
    <t>近战</t>
  </si>
  <si>
    <t>泰森</t>
  </si>
  <si>
    <t>远程</t>
  </si>
  <si>
    <t>残酷射手</t>
  </si>
  <si>
    <t>移动速度</t>
    <phoneticPr fontId="2" type="noConversion"/>
  </si>
  <si>
    <t>血量战力价值</t>
    <phoneticPr fontId="2" type="noConversion"/>
  </si>
  <si>
    <t>DPS战力价值</t>
    <phoneticPr fontId="2" type="noConversion"/>
  </si>
  <si>
    <t>森林,草原,雪山</t>
    <phoneticPr fontId="2" type="noConversion"/>
  </si>
  <si>
    <t>精英</t>
    <phoneticPr fontId="2" type="noConversion"/>
  </si>
  <si>
    <t>近战</t>
    <phoneticPr fontId="2" type="noConversion"/>
  </si>
  <si>
    <t>刘易斯</t>
    <phoneticPr fontId="2" type="noConversion"/>
  </si>
  <si>
    <t>精英</t>
    <phoneticPr fontId="2" type="noConversion"/>
  </si>
  <si>
    <t>普通</t>
    <phoneticPr fontId="2" type="noConversion"/>
  </si>
  <si>
    <t>刺客</t>
    <phoneticPr fontId="2" type="noConversion"/>
  </si>
  <si>
    <t>远程</t>
    <phoneticPr fontId="2" type="noConversion"/>
  </si>
  <si>
    <t>垃圾刺客</t>
    <phoneticPr fontId="2" type="noConversion"/>
  </si>
  <si>
    <t>影流之主</t>
    <phoneticPr fontId="2" type="noConversion"/>
  </si>
  <si>
    <t>精射手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</si>
</sst>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宋体"/>
      <family val="2"/>
      <scheme val="minor"/>
    </font>
    <font>
      <b/>
      <sz val="11"/>
      <color rgb="FFFFFFFF"/>
      <name val="宋体"/>
      <family val="3"/>
      <charset val="134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sz val="11"/>
      <color rgb="FF000000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424242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1"/>
    <xf numFmtId="0" fontId="3" fillId="2" borderId="2">
      <alignment horizontal="center" vertical="center"/>
    </xf>
    <xf numFmtId="0" fontId="4" fillId="0" borderId="2">
      <alignment horizontal="center" vertical="center"/>
    </xf>
  </cellStyleXfs>
  <cellXfs count="5">
    <xf numFmtId="0" fontId="0" fillId="0" borderId="0" xfId="0" applyBorder="1"/>
    <xf numFmtId="0" fontId="3" fillId="2" borderId="2" xfId="1" applyAlignment="1">
      <alignment horizontal="center" vertical="center"/>
    </xf>
    <xf numFmtId="0" fontId="4" fillId="0" borderId="2" xfId="2" applyAlignment="1">
      <alignment horizontal="center" vertical="center"/>
    </xf>
    <xf numFmtId="0" fontId="1" fillId="2" borderId="2" xfId="1" applyFont="1" applyAlignment="1">
      <alignment horizontal="center" vertical="center"/>
    </xf>
    <xf numFmtId="0" fontId="4" fillId="0" borderId="2" xfId="2" applyFill="1" applyAlignment="1">
      <alignment horizontal="center" vertical="center"/>
    </xf>
  </cellXfs>
  <cellStyles count="3">
    <cellStyle name="data_default" xfId="2"/>
    <cellStyle name="header_default" xfId="1"/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1"/>
  <sheetViews>
    <sheetView tabSelected="1" workbookViewId="0">
      <selection activeCell="K18" sqref="K18"/>
    </sheetView>
  </sheetViews>
  <sheetFormatPr defaultRowHeight="13.5" x14ac:dyDescent="0.15"/>
  <cols>
    <col min="2" max="2" width="13.25" customWidth="1"/>
    <col min="3" max="7" width="8.75" customWidth="1"/>
    <col min="8" max="8" width="11" customWidth="1"/>
    <col min="9" max="9" width="8.75" customWidth="1"/>
    <col min="10" max="11" width="13.25" customWidth="1"/>
    <col min="12" max="12" width="11" customWidth="1"/>
    <col min="13" max="13" width="17.625" customWidth="1"/>
    <col min="14" max="14" width="19.75" customWidth="1"/>
    <col min="15" max="15" width="8.75" customWidth="1"/>
    <col min="16" max="16" width="17.625" customWidth="1"/>
    <col min="17" max="17" width="19.75" customWidth="1"/>
    <col min="18" max="18" width="27.375" customWidth="1"/>
    <col min="19" max="19" width="25.625" customWidth="1"/>
    <col min="22" max="22" width="18" customWidth="1"/>
  </cols>
  <sheetData>
    <row r="1" spans="1:23" x14ac:dyDescent="0.15">
      <c r="A1" s="1" t="s">
        <v>0</v>
      </c>
      <c r="B1" s="1" t="s">
        <v>16</v>
      </c>
      <c r="C1" s="1" t="s">
        <v>11</v>
      </c>
      <c r="D1" s="1" t="s">
        <v>12</v>
      </c>
      <c r="E1" s="1" t="s">
        <v>13</v>
      </c>
      <c r="F1" s="1" t="s">
        <v>1</v>
      </c>
      <c r="G1" s="1" t="s">
        <v>2</v>
      </c>
      <c r="H1" s="1" t="s">
        <v>3</v>
      </c>
      <c r="I1" s="1" t="s">
        <v>4</v>
      </c>
      <c r="J1" s="1" t="s">
        <v>5</v>
      </c>
      <c r="K1" s="3" t="s">
        <v>33</v>
      </c>
      <c r="L1" s="1" t="s">
        <v>7</v>
      </c>
      <c r="M1" s="1" t="s">
        <v>8</v>
      </c>
      <c r="N1" s="1" t="s">
        <v>9</v>
      </c>
      <c r="O1" s="1" t="s">
        <v>10</v>
      </c>
      <c r="P1" s="1" t="s">
        <v>14</v>
      </c>
      <c r="Q1" s="1" t="s">
        <v>15</v>
      </c>
      <c r="R1" s="1" t="s">
        <v>17</v>
      </c>
      <c r="S1" s="1" t="s">
        <v>18</v>
      </c>
    </row>
    <row r="2" spans="1:23" x14ac:dyDescent="0.15">
      <c r="A2" s="1" t="s">
        <v>19</v>
      </c>
      <c r="B2" s="1" t="s">
        <v>21</v>
      </c>
      <c r="C2" s="1" t="s">
        <v>20</v>
      </c>
      <c r="D2" s="1" t="s">
        <v>20</v>
      </c>
      <c r="E2" s="1" t="s">
        <v>20</v>
      </c>
      <c r="F2" s="1" t="s">
        <v>21</v>
      </c>
      <c r="G2" s="1" t="s">
        <v>22</v>
      </c>
      <c r="H2" s="1" t="s">
        <v>22</v>
      </c>
      <c r="I2" s="1" t="s">
        <v>22</v>
      </c>
      <c r="J2" s="1" t="s">
        <v>22</v>
      </c>
      <c r="K2" s="1" t="s">
        <v>22</v>
      </c>
      <c r="L2" s="1" t="s">
        <v>22</v>
      </c>
      <c r="M2" s="1" t="s">
        <v>22</v>
      </c>
      <c r="N2" s="1" t="s">
        <v>22</v>
      </c>
      <c r="O2" s="1" t="s">
        <v>22</v>
      </c>
      <c r="P2" s="1" t="s">
        <v>22</v>
      </c>
      <c r="Q2" s="1" t="s">
        <v>22</v>
      </c>
      <c r="R2" s="1" t="s">
        <v>20</v>
      </c>
      <c r="S2" s="1" t="s">
        <v>21</v>
      </c>
    </row>
    <row r="3" spans="1:23" x14ac:dyDescent="0.15">
      <c r="A3" s="1" t="s">
        <v>23</v>
      </c>
      <c r="B3" s="1" t="s">
        <v>16</v>
      </c>
      <c r="C3" s="1" t="s">
        <v>11</v>
      </c>
      <c r="D3" s="1" t="s">
        <v>12</v>
      </c>
      <c r="E3" s="1" t="s">
        <v>13</v>
      </c>
      <c r="F3" s="1" t="s">
        <v>1</v>
      </c>
      <c r="G3" s="1" t="s">
        <v>2</v>
      </c>
      <c r="H3" s="1" t="s">
        <v>3</v>
      </c>
      <c r="I3" s="1" t="s">
        <v>4</v>
      </c>
      <c r="J3" s="1" t="s">
        <v>5</v>
      </c>
      <c r="K3" s="1" t="s">
        <v>6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14</v>
      </c>
      <c r="Q3" s="1" t="s">
        <v>15</v>
      </c>
      <c r="R3" s="1" t="s">
        <v>17</v>
      </c>
      <c r="S3" s="1" t="s">
        <v>18</v>
      </c>
    </row>
    <row r="4" spans="1:23" x14ac:dyDescent="0.15">
      <c r="B4" s="2">
        <v>2001</v>
      </c>
      <c r="C4" s="2" t="s">
        <v>24</v>
      </c>
      <c r="D4" s="2" t="s">
        <v>25</v>
      </c>
      <c r="E4" s="2" t="s">
        <v>26</v>
      </c>
      <c r="F4" s="2">
        <v>1</v>
      </c>
      <c r="G4" s="2">
        <v>131</v>
      </c>
      <c r="H4" s="2">
        <v>5.6</v>
      </c>
      <c r="I4" s="2">
        <v>1</v>
      </c>
      <c r="J4" s="2">
        <v>1</v>
      </c>
      <c r="K4" s="2">
        <v>1</v>
      </c>
      <c r="L4">
        <f t="shared" ref="L4:L11" si="0">H4*I4*((J4-1)*0.15+1)</f>
        <v>5.6</v>
      </c>
      <c r="M4" s="2">
        <v>0.2</v>
      </c>
      <c r="N4" s="2">
        <v>0</v>
      </c>
      <c r="O4" s="2">
        <f>G4*$W$4*(1+M4)+H4*I4*(1+(J4-1)*0.15)*$W$5*(1+N4)</f>
        <v>196.39999999999998</v>
      </c>
      <c r="P4" s="2">
        <v>1.6367</v>
      </c>
      <c r="Q4" s="2">
        <v>1.6367</v>
      </c>
      <c r="R4" s="2" t="s">
        <v>36</v>
      </c>
      <c r="S4" s="2">
        <v>2</v>
      </c>
      <c r="V4" t="s">
        <v>34</v>
      </c>
      <c r="W4">
        <v>1</v>
      </c>
    </row>
    <row r="5" spans="1:23" x14ac:dyDescent="0.15">
      <c r="B5" s="2">
        <v>2002</v>
      </c>
      <c r="C5" s="2" t="s">
        <v>27</v>
      </c>
      <c r="D5" s="2" t="s">
        <v>25</v>
      </c>
      <c r="E5" s="2" t="s">
        <v>28</v>
      </c>
      <c r="F5" s="2">
        <v>1</v>
      </c>
      <c r="G5" s="2">
        <v>167</v>
      </c>
      <c r="H5" s="2">
        <v>4.9000000000000004</v>
      </c>
      <c r="I5" s="2">
        <v>1.2</v>
      </c>
      <c r="J5" s="2">
        <v>1.5</v>
      </c>
      <c r="K5" s="2">
        <v>1.2</v>
      </c>
      <c r="L5">
        <f t="shared" si="0"/>
        <v>6.3209999999999997</v>
      </c>
      <c r="M5" s="2">
        <v>0.5</v>
      </c>
      <c r="N5" s="2">
        <v>0</v>
      </c>
      <c r="O5" s="2">
        <f t="shared" ref="O5:O7" si="1">G5*$W$4*(1+M5)+H5*I5*(1+(J5-1)*0.15)*$W$5*(1+N5)</f>
        <v>294.74700000000001</v>
      </c>
      <c r="P5" s="2">
        <v>1.6367</v>
      </c>
      <c r="Q5" s="2">
        <v>1.6367</v>
      </c>
      <c r="R5" s="2" t="s">
        <v>36</v>
      </c>
      <c r="S5" s="2">
        <v>3</v>
      </c>
      <c r="V5" t="s">
        <v>35</v>
      </c>
      <c r="W5">
        <v>7</v>
      </c>
    </row>
    <row r="6" spans="1:23" x14ac:dyDescent="0.15">
      <c r="B6" s="2">
        <v>2003</v>
      </c>
      <c r="C6" s="2" t="s">
        <v>24</v>
      </c>
      <c r="D6" s="2" t="s">
        <v>29</v>
      </c>
      <c r="E6" s="2" t="s">
        <v>30</v>
      </c>
      <c r="F6" s="2">
        <v>1</v>
      </c>
      <c r="G6" s="2">
        <v>117.9</v>
      </c>
      <c r="H6" s="2">
        <v>11.2</v>
      </c>
      <c r="I6" s="2">
        <v>1</v>
      </c>
      <c r="J6" s="2">
        <v>1</v>
      </c>
      <c r="K6" s="2">
        <v>1</v>
      </c>
      <c r="L6">
        <f t="shared" si="0"/>
        <v>11.2</v>
      </c>
      <c r="M6" s="2">
        <v>0</v>
      </c>
      <c r="N6" s="2">
        <v>0</v>
      </c>
      <c r="O6" s="2">
        <f t="shared" si="1"/>
        <v>196.3</v>
      </c>
      <c r="P6" s="2">
        <v>1.6367</v>
      </c>
      <c r="Q6" s="2">
        <v>1.6367</v>
      </c>
      <c r="R6" s="2" t="s">
        <v>36</v>
      </c>
      <c r="S6" s="2">
        <v>1</v>
      </c>
    </row>
    <row r="7" spans="1:23" x14ac:dyDescent="0.15">
      <c r="B7" s="2">
        <v>2004</v>
      </c>
      <c r="C7" s="2" t="s">
        <v>24</v>
      </c>
      <c r="D7" s="2" t="s">
        <v>31</v>
      </c>
      <c r="E7" s="2" t="s">
        <v>32</v>
      </c>
      <c r="F7" s="2">
        <v>1</v>
      </c>
      <c r="G7" s="2">
        <v>78.599999999999994</v>
      </c>
      <c r="H7" s="2">
        <v>10</v>
      </c>
      <c r="I7" s="2">
        <v>1</v>
      </c>
      <c r="J7" s="2">
        <v>3</v>
      </c>
      <c r="K7" s="2">
        <v>1.2</v>
      </c>
      <c r="L7">
        <f t="shared" si="0"/>
        <v>13</v>
      </c>
      <c r="M7" s="2">
        <v>0</v>
      </c>
      <c r="N7" s="2">
        <v>0.3</v>
      </c>
      <c r="O7" s="2">
        <f t="shared" si="1"/>
        <v>196.89999999999998</v>
      </c>
      <c r="P7" s="2">
        <v>1.6367</v>
      </c>
      <c r="Q7" s="2">
        <v>1.6367</v>
      </c>
      <c r="R7" s="2" t="s">
        <v>36</v>
      </c>
      <c r="S7" s="2">
        <v>1</v>
      </c>
    </row>
    <row r="8" spans="1:23" x14ac:dyDescent="0.15">
      <c r="B8" s="4">
        <v>2005</v>
      </c>
      <c r="C8" s="4" t="s">
        <v>37</v>
      </c>
      <c r="D8" s="4" t="s">
        <v>38</v>
      </c>
      <c r="E8" s="4" t="s">
        <v>39</v>
      </c>
      <c r="F8" s="4">
        <v>1</v>
      </c>
      <c r="G8" s="2">
        <v>120</v>
      </c>
      <c r="H8" s="2">
        <v>11.2</v>
      </c>
      <c r="I8" s="2">
        <v>1</v>
      </c>
      <c r="J8" s="2">
        <v>1</v>
      </c>
      <c r="K8" s="2">
        <v>1</v>
      </c>
      <c r="L8">
        <f t="shared" si="0"/>
        <v>11.2</v>
      </c>
      <c r="M8" s="2">
        <v>0</v>
      </c>
      <c r="N8" s="2">
        <v>0</v>
      </c>
      <c r="O8" s="2">
        <f t="shared" ref="O8:O11" si="2">G8*$W$4*(1+M8)+H8*I8*(1+(J8-1)*0.15)*$W$5*(1+N8)</f>
        <v>198.39999999999998</v>
      </c>
      <c r="P8" s="2">
        <v>1.6367</v>
      </c>
      <c r="Q8" s="2">
        <v>1.6367</v>
      </c>
      <c r="R8" s="2" t="s">
        <v>36</v>
      </c>
      <c r="S8" s="4">
        <v>1</v>
      </c>
    </row>
    <row r="9" spans="1:23" x14ac:dyDescent="0.15">
      <c r="B9" s="4">
        <v>2006</v>
      </c>
      <c r="C9" s="4" t="s">
        <v>40</v>
      </c>
      <c r="D9" s="4" t="s">
        <v>43</v>
      </c>
      <c r="E9" s="4" t="s">
        <v>46</v>
      </c>
      <c r="F9" s="4">
        <v>1</v>
      </c>
      <c r="G9" s="4">
        <v>90</v>
      </c>
      <c r="H9" s="4">
        <v>16</v>
      </c>
      <c r="I9" s="4">
        <v>1</v>
      </c>
      <c r="J9" s="4">
        <v>3</v>
      </c>
      <c r="K9" s="4">
        <v>1</v>
      </c>
      <c r="L9">
        <f>H9*I9*((J9-1)*0.15+1)</f>
        <v>20.8</v>
      </c>
      <c r="M9" s="4">
        <v>0</v>
      </c>
      <c r="N9" s="4">
        <v>0</v>
      </c>
      <c r="O9" s="4">
        <f t="shared" si="2"/>
        <v>235.6</v>
      </c>
      <c r="P9" s="2">
        <v>1.6367</v>
      </c>
      <c r="Q9" s="2">
        <v>1.6367</v>
      </c>
      <c r="R9" s="2" t="s">
        <v>36</v>
      </c>
      <c r="S9" s="4">
        <v>1</v>
      </c>
    </row>
    <row r="10" spans="1:23" x14ac:dyDescent="0.15">
      <c r="B10" s="4">
        <v>2007</v>
      </c>
      <c r="C10" s="4" t="s">
        <v>40</v>
      </c>
      <c r="D10" s="4" t="s">
        <v>42</v>
      </c>
      <c r="E10" s="4" t="s">
        <v>44</v>
      </c>
      <c r="F10" s="4">
        <v>1</v>
      </c>
      <c r="G10" s="4">
        <v>70</v>
      </c>
      <c r="H10" s="4">
        <v>15</v>
      </c>
      <c r="I10" s="4">
        <v>1</v>
      </c>
      <c r="J10" s="4">
        <v>1</v>
      </c>
      <c r="K10" s="4">
        <v>2</v>
      </c>
      <c r="L10">
        <f t="shared" si="0"/>
        <v>15</v>
      </c>
      <c r="M10" s="4">
        <v>0</v>
      </c>
      <c r="N10" s="4">
        <v>0</v>
      </c>
      <c r="O10" s="4">
        <f t="shared" si="2"/>
        <v>175</v>
      </c>
      <c r="P10" s="2">
        <v>1.6367</v>
      </c>
      <c r="Q10" s="2">
        <v>1.6367</v>
      </c>
      <c r="R10" s="2" t="s">
        <v>36</v>
      </c>
      <c r="S10" s="4">
        <v>1</v>
      </c>
    </row>
    <row r="11" spans="1:23" x14ac:dyDescent="0.15">
      <c r="B11" s="4">
        <v>2008</v>
      </c>
      <c r="C11" s="4" t="s">
        <v>41</v>
      </c>
      <c r="D11" s="4" t="s">
        <v>42</v>
      </c>
      <c r="E11" s="4" t="s">
        <v>45</v>
      </c>
      <c r="F11" s="4">
        <v>1</v>
      </c>
      <c r="G11" s="4">
        <v>90</v>
      </c>
      <c r="H11" s="4">
        <v>16</v>
      </c>
      <c r="I11" s="4">
        <v>1</v>
      </c>
      <c r="J11" s="4">
        <v>1</v>
      </c>
      <c r="K11" s="4">
        <v>2.5</v>
      </c>
      <c r="L11">
        <f t="shared" si="0"/>
        <v>16</v>
      </c>
      <c r="M11" s="4">
        <v>0</v>
      </c>
      <c r="N11" s="4">
        <v>0</v>
      </c>
      <c r="O11" s="4">
        <f t="shared" si="2"/>
        <v>202</v>
      </c>
      <c r="P11" s="2">
        <v>1.6367</v>
      </c>
      <c r="Q11" s="2">
        <v>1.6367</v>
      </c>
      <c r="R11" s="2" t="s">
        <v>36</v>
      </c>
      <c r="S11" s="4">
        <v>1</v>
      </c>
    </row>
  </sheetData>
  <phoneticPr fontId="2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怪物初始属性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</cp:lastModifiedBy>
  <dcterms:created xsi:type="dcterms:W3CDTF">2025-05-09T16:29:52Z</dcterms:created>
  <dcterms:modified xsi:type="dcterms:W3CDTF">2025-05-12T15:36:11Z</dcterms:modified>
</cp:coreProperties>
</file>