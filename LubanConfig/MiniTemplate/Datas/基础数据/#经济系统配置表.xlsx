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9" i="1" l="1"/>
  <c r="N28" i="1"/>
  <c r="N26" i="1"/>
  <c r="N27" i="1"/>
</calcChain>
</file>

<file path=xl/sharedStrings.xml><?xml version="1.0" encoding="utf-8"?>
<sst xmlns="http://schemas.openxmlformats.org/spreadsheetml/2006/main" count="110" uniqueCount="64">
  <si>
    <t>每日商店</t>
    <phoneticPr fontId="1" type="noConversion"/>
  </si>
  <si>
    <t>精致宝箱</t>
    <phoneticPr fontId="1" type="noConversion"/>
  </si>
  <si>
    <t>普通宝箱</t>
    <phoneticPr fontId="1" type="noConversion"/>
  </si>
  <si>
    <t>钻石</t>
    <phoneticPr fontId="1" type="noConversion"/>
  </si>
  <si>
    <t>广告</t>
    <phoneticPr fontId="1" type="noConversion"/>
  </si>
  <si>
    <t>绿色碎片</t>
    <phoneticPr fontId="1" type="noConversion"/>
  </si>
  <si>
    <t>紫色碎片</t>
    <phoneticPr fontId="1" type="noConversion"/>
  </si>
  <si>
    <t>蓝色碎片</t>
    <phoneticPr fontId="1" type="noConversion"/>
  </si>
  <si>
    <t>固定</t>
    <phoneticPr fontId="1" type="noConversion"/>
  </si>
  <si>
    <t>比例</t>
    <phoneticPr fontId="1" type="noConversion"/>
  </si>
  <si>
    <t>金币</t>
    <phoneticPr fontId="1" type="noConversion"/>
  </si>
  <si>
    <t>金币商店</t>
    <phoneticPr fontId="1" type="noConversion"/>
  </si>
  <si>
    <t>类型</t>
    <phoneticPr fontId="1" type="noConversion"/>
  </si>
  <si>
    <t>数值</t>
    <phoneticPr fontId="1" type="noConversion"/>
  </si>
  <si>
    <t>通关产出</t>
    <phoneticPr fontId="1" type="noConversion"/>
  </si>
  <si>
    <t>波次奖励</t>
    <phoneticPr fontId="1" type="noConversion"/>
  </si>
  <si>
    <t>七日登录</t>
    <phoneticPr fontId="1" type="noConversion"/>
  </si>
  <si>
    <t>每日任务</t>
    <phoneticPr fontId="1" type="noConversion"/>
  </si>
  <si>
    <t>浮动范围</t>
    <phoneticPr fontId="1" type="noConversion"/>
  </si>
  <si>
    <t>经济系统</t>
    <phoneticPr fontId="1" type="noConversion"/>
  </si>
  <si>
    <t>体力</t>
    <phoneticPr fontId="1" type="noConversion"/>
  </si>
  <si>
    <t>##var</t>
    <phoneticPr fontId="1" type="noConversion"/>
  </si>
  <si>
    <t>##type</t>
    <phoneticPr fontId="1" type="noConversion"/>
  </si>
  <si>
    <t>##</t>
    <phoneticPr fontId="1" type="noConversion"/>
  </si>
  <si>
    <t>体力</t>
    <phoneticPr fontId="1" type="noConversion"/>
  </si>
  <si>
    <t>固定</t>
    <phoneticPr fontId="1" type="noConversion"/>
  </si>
  <si>
    <t>产出资源</t>
    <phoneticPr fontId="1" type="noConversion"/>
  </si>
  <si>
    <t>广告</t>
    <phoneticPr fontId="1" type="noConversion"/>
  </si>
  <si>
    <t>绿色碎片总比例</t>
    <phoneticPr fontId="1" type="noConversion"/>
  </si>
  <si>
    <t>蓝色碎片总比例</t>
    <phoneticPr fontId="1" type="noConversion"/>
  </si>
  <si>
    <t>紫色碎片总比例</t>
    <phoneticPr fontId="1" type="noConversion"/>
  </si>
  <si>
    <t>金币总比例</t>
    <phoneticPr fontId="1" type="noConversion"/>
  </si>
  <si>
    <t>导表之前检查数据是否合理</t>
    <phoneticPr fontId="1" type="noConversion"/>
  </si>
  <si>
    <t>string</t>
    <phoneticPr fontId="1" type="noConversion"/>
  </si>
  <si>
    <t>数值</t>
    <phoneticPr fontId="1" type="noConversion"/>
  </si>
  <si>
    <t>浮动范围</t>
    <phoneticPr fontId="1" type="noConversion"/>
  </si>
  <si>
    <t>map,string,资源数据</t>
    <phoneticPr fontId="1" type="noConversion"/>
  </si>
  <si>
    <t>$key</t>
    <phoneticPr fontId="1" type="noConversion"/>
  </si>
  <si>
    <t>经济系统</t>
    <phoneticPr fontId="1" type="noConversion"/>
  </si>
  <si>
    <t>*经济系统数据</t>
    <phoneticPr fontId="1" type="noConversion"/>
  </si>
  <si>
    <t>类型</t>
    <phoneticPr fontId="1" type="noConversion"/>
  </si>
  <si>
    <t>钻石价格</t>
    <phoneticPr fontId="1" type="noConversion"/>
  </si>
  <si>
    <t>int</t>
    <phoneticPr fontId="1" type="noConversion"/>
  </si>
  <si>
    <t>购买次数</t>
    <phoneticPr fontId="1" type="noConversion"/>
  </si>
  <si>
    <t>一个500，一个2000</t>
    <phoneticPr fontId="1" type="noConversion"/>
  </si>
  <si>
    <t>这里决定了金币和钻石的兑换关系</t>
    <phoneticPr fontId="1" type="noConversion"/>
  </si>
  <si>
    <t>计算一下纯靠通关，不看广告的话，获得的资源最多能打到哪里</t>
    <phoneticPr fontId="1" type="noConversion"/>
  </si>
  <si>
    <t>获得次数</t>
    <phoneticPr fontId="1" type="noConversion"/>
  </si>
  <si>
    <t>int</t>
    <phoneticPr fontId="1" type="noConversion"/>
  </si>
  <si>
    <t>获得次数 = 广告获得次数 + 钻石购买次数</t>
    <phoneticPr fontId="1" type="noConversion"/>
  </si>
  <si>
    <t>比例都是总需求-固定值的剩余的比例</t>
    <phoneticPr fontId="1" type="noConversion"/>
  </si>
  <si>
    <t>注意：平均每次开精致宝箱的收益要高于普通宝箱</t>
    <phoneticPr fontId="1" type="noConversion"/>
  </si>
  <si>
    <t>宝箱产出要有一个最低值</t>
    <phoneticPr fontId="1" type="noConversion"/>
  </si>
  <si>
    <t>2绿</t>
    <phoneticPr fontId="1" type="noConversion"/>
  </si>
  <si>
    <t>2蓝</t>
    <phoneticPr fontId="1" type="noConversion"/>
  </si>
  <si>
    <t>1紫</t>
    <phoneticPr fontId="1" type="noConversion"/>
  </si>
  <si>
    <t>1广告位</t>
    <phoneticPr fontId="1" type="noConversion"/>
  </si>
  <si>
    <t>10次广告，每个广告获得500金币。 剩余的5000金币，分配给两个钻石购买的礼包： 1000金币  100钻石</t>
    <phoneticPr fontId="1" type="noConversion"/>
  </si>
  <si>
    <t>工作1</t>
    <phoneticPr fontId="1" type="noConversion"/>
  </si>
  <si>
    <t>工作2</t>
    <phoneticPr fontId="1" type="noConversion"/>
  </si>
  <si>
    <t>金币每日固定数值，要加入购买次数的考虑</t>
    <phoneticPr fontId="1" type="noConversion"/>
  </si>
  <si>
    <t>金币和钻石的价值分配，要考虑到  广告获得金币的占比</t>
    <phoneticPr fontId="1" type="noConversion"/>
  </si>
  <si>
    <t>工作3</t>
    <phoneticPr fontId="1" type="noConversion"/>
  </si>
  <si>
    <t>考虑每日商店的购买次数，以及每种碎片的钻石定价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</si>
</sst>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2" fillId="4" borderId="1" xfId="0" applyFont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"/>
  <sheetViews>
    <sheetView tabSelected="1" workbookViewId="0">
      <selection activeCell="M30" sqref="M30"/>
    </sheetView>
  </sheetViews>
  <sheetFormatPr defaultRowHeight="14.25" x14ac:dyDescent="0.2"/>
  <cols>
    <col min="1" max="1" width="9" style="3"/>
    <col min="2" max="2" width="14.875" style="3" customWidth="1"/>
    <col min="3" max="6" width="9" style="3"/>
    <col min="13" max="13" width="23.75" customWidth="1"/>
  </cols>
  <sheetData>
    <row r="1" spans="1:19" s="1" customFormat="1" x14ac:dyDescent="0.2">
      <c r="A1" s="2" t="s">
        <v>21</v>
      </c>
      <c r="B1" s="2" t="s">
        <v>38</v>
      </c>
      <c r="C1" s="4" t="s">
        <v>39</v>
      </c>
      <c r="D1" s="4"/>
      <c r="E1" s="4"/>
      <c r="F1" s="4"/>
      <c r="G1" s="1" t="s">
        <v>41</v>
      </c>
      <c r="H1" s="1" t="s">
        <v>43</v>
      </c>
      <c r="I1" s="1" t="s">
        <v>47</v>
      </c>
    </row>
    <row r="2" spans="1:19" s="1" customFormat="1" x14ac:dyDescent="0.2">
      <c r="A2" s="2" t="s">
        <v>22</v>
      </c>
      <c r="B2" s="2" t="s">
        <v>33</v>
      </c>
      <c r="C2" s="4" t="s">
        <v>36</v>
      </c>
      <c r="D2" s="4"/>
      <c r="E2" s="4"/>
      <c r="F2" s="4"/>
      <c r="G2" s="1" t="s">
        <v>42</v>
      </c>
      <c r="H2" s="1" t="s">
        <v>42</v>
      </c>
      <c r="I2" s="1" t="s">
        <v>48</v>
      </c>
    </row>
    <row r="3" spans="1:19" s="1" customFormat="1" x14ac:dyDescent="0.2">
      <c r="A3" s="2" t="s">
        <v>21</v>
      </c>
      <c r="B3" s="2"/>
      <c r="C3" s="2" t="s">
        <v>37</v>
      </c>
      <c r="D3" s="2" t="s">
        <v>40</v>
      </c>
      <c r="E3" s="2" t="s">
        <v>34</v>
      </c>
      <c r="F3" s="2" t="s">
        <v>35</v>
      </c>
    </row>
    <row r="4" spans="1:19" s="1" customFormat="1" x14ac:dyDescent="0.2">
      <c r="A4" s="2" t="s">
        <v>23</v>
      </c>
      <c r="B4" s="2" t="s">
        <v>19</v>
      </c>
      <c r="C4" s="2" t="s">
        <v>26</v>
      </c>
      <c r="D4" s="2" t="s">
        <v>12</v>
      </c>
      <c r="E4" s="2" t="s">
        <v>13</v>
      </c>
      <c r="F4" s="2" t="s">
        <v>18</v>
      </c>
    </row>
    <row r="5" spans="1:19" x14ac:dyDescent="0.2">
      <c r="B5" s="3" t="s">
        <v>0</v>
      </c>
      <c r="C5" s="6" t="s">
        <v>4</v>
      </c>
      <c r="D5" s="6" t="s">
        <v>8</v>
      </c>
      <c r="E5" s="6">
        <v>10</v>
      </c>
      <c r="M5" t="s">
        <v>56</v>
      </c>
    </row>
    <row r="6" spans="1:19" x14ac:dyDescent="0.2">
      <c r="C6" s="3" t="s">
        <v>5</v>
      </c>
      <c r="D6" s="3" t="s">
        <v>8</v>
      </c>
      <c r="E6" s="3">
        <v>30</v>
      </c>
      <c r="F6" s="3">
        <v>5</v>
      </c>
      <c r="H6">
        <v>2</v>
      </c>
      <c r="I6">
        <v>2</v>
      </c>
      <c r="M6" t="s">
        <v>53</v>
      </c>
    </row>
    <row r="7" spans="1:19" x14ac:dyDescent="0.2">
      <c r="C7" s="3" t="s">
        <v>7</v>
      </c>
      <c r="D7" s="3" t="s">
        <v>8</v>
      </c>
      <c r="E7" s="3">
        <v>15</v>
      </c>
      <c r="F7" s="3">
        <v>5</v>
      </c>
      <c r="H7">
        <v>2</v>
      </c>
      <c r="I7">
        <v>2</v>
      </c>
      <c r="M7" t="s">
        <v>54</v>
      </c>
    </row>
    <row r="8" spans="1:19" x14ac:dyDescent="0.2">
      <c r="C8" s="3" t="s">
        <v>6</v>
      </c>
      <c r="D8" s="3" t="s">
        <v>8</v>
      </c>
      <c r="E8" s="3">
        <v>4</v>
      </c>
      <c r="F8" s="3">
        <v>4</v>
      </c>
      <c r="H8">
        <v>2</v>
      </c>
      <c r="I8">
        <v>2</v>
      </c>
      <c r="M8" t="s">
        <v>55</v>
      </c>
    </row>
    <row r="9" spans="1:19" x14ac:dyDescent="0.2">
      <c r="B9" s="3" t="s">
        <v>2</v>
      </c>
      <c r="C9" s="3" t="s">
        <v>5</v>
      </c>
      <c r="D9" s="3" t="s">
        <v>9</v>
      </c>
      <c r="E9" s="3">
        <v>0.1</v>
      </c>
      <c r="G9">
        <v>25</v>
      </c>
      <c r="H9">
        <v>4</v>
      </c>
      <c r="I9">
        <v>4</v>
      </c>
    </row>
    <row r="10" spans="1:19" x14ac:dyDescent="0.2">
      <c r="C10" s="3" t="s">
        <v>7</v>
      </c>
      <c r="D10" s="3" t="s">
        <v>9</v>
      </c>
      <c r="E10" s="3">
        <v>0.1</v>
      </c>
    </row>
    <row r="11" spans="1:19" x14ac:dyDescent="0.2">
      <c r="B11" s="3" t="s">
        <v>1</v>
      </c>
      <c r="C11" s="6" t="s">
        <v>27</v>
      </c>
      <c r="D11" s="6" t="s">
        <v>25</v>
      </c>
      <c r="E11" s="6">
        <v>1</v>
      </c>
      <c r="G11">
        <v>200</v>
      </c>
      <c r="H11">
        <v>8</v>
      </c>
      <c r="I11">
        <v>9</v>
      </c>
      <c r="Q11" t="s">
        <v>51</v>
      </c>
    </row>
    <row r="12" spans="1:19" x14ac:dyDescent="0.2">
      <c r="C12" s="5" t="s">
        <v>10</v>
      </c>
      <c r="D12" s="5" t="s">
        <v>8</v>
      </c>
      <c r="E12" s="5">
        <v>100</v>
      </c>
      <c r="I12" t="s">
        <v>49</v>
      </c>
    </row>
    <row r="13" spans="1:19" x14ac:dyDescent="0.2">
      <c r="C13" s="3" t="s">
        <v>5</v>
      </c>
      <c r="D13" s="3" t="s">
        <v>9</v>
      </c>
      <c r="E13" s="3">
        <v>0.5</v>
      </c>
    </row>
    <row r="14" spans="1:19" x14ac:dyDescent="0.2">
      <c r="C14" s="3" t="s">
        <v>7</v>
      </c>
      <c r="D14" s="3" t="s">
        <v>9</v>
      </c>
      <c r="E14" s="3">
        <v>0.5</v>
      </c>
      <c r="S14" t="s">
        <v>52</v>
      </c>
    </row>
    <row r="15" spans="1:19" x14ac:dyDescent="0.2">
      <c r="C15" s="3" t="s">
        <v>6</v>
      </c>
      <c r="D15" s="3" t="s">
        <v>9</v>
      </c>
      <c r="E15" s="3">
        <v>0.7</v>
      </c>
    </row>
    <row r="16" spans="1:19" x14ac:dyDescent="0.2">
      <c r="B16" s="3" t="s">
        <v>11</v>
      </c>
      <c r="C16" s="6" t="s">
        <v>27</v>
      </c>
      <c r="D16" s="6" t="s">
        <v>25</v>
      </c>
      <c r="E16" s="6">
        <v>10</v>
      </c>
      <c r="G16">
        <v>500</v>
      </c>
      <c r="H16">
        <v>1</v>
      </c>
      <c r="M16" t="s">
        <v>44</v>
      </c>
      <c r="N16" t="s">
        <v>45</v>
      </c>
    </row>
    <row r="17" spans="2:14" x14ac:dyDescent="0.2">
      <c r="C17" s="5" t="s">
        <v>10</v>
      </c>
      <c r="D17" s="5" t="s">
        <v>8</v>
      </c>
      <c r="E17" s="5">
        <v>10000</v>
      </c>
      <c r="M17" t="s">
        <v>57</v>
      </c>
    </row>
    <row r="18" spans="2:14" x14ac:dyDescent="0.2">
      <c r="B18" s="3" t="s">
        <v>14</v>
      </c>
      <c r="C18" s="5" t="s">
        <v>10</v>
      </c>
      <c r="D18" s="5" t="s">
        <v>9</v>
      </c>
      <c r="E18" s="5">
        <v>0.5</v>
      </c>
    </row>
    <row r="19" spans="2:14" x14ac:dyDescent="0.2">
      <c r="C19" s="2" t="s">
        <v>3</v>
      </c>
      <c r="D19" s="2" t="s">
        <v>9</v>
      </c>
      <c r="E19" s="2">
        <v>0.5</v>
      </c>
    </row>
    <row r="20" spans="2:14" x14ac:dyDescent="0.2">
      <c r="C20" s="3" t="s">
        <v>5</v>
      </c>
      <c r="D20" s="3" t="s">
        <v>9</v>
      </c>
      <c r="E20" s="3">
        <v>0.3</v>
      </c>
    </row>
    <row r="21" spans="2:14" x14ac:dyDescent="0.2">
      <c r="C21" s="3" t="s">
        <v>7</v>
      </c>
      <c r="D21" s="3" t="s">
        <v>9</v>
      </c>
      <c r="E21" s="3">
        <v>0.3</v>
      </c>
      <c r="M21" t="s">
        <v>46</v>
      </c>
    </row>
    <row r="22" spans="2:14" x14ac:dyDescent="0.2">
      <c r="C22" s="3" t="s">
        <v>6</v>
      </c>
      <c r="D22" s="3" t="s">
        <v>9</v>
      </c>
      <c r="E22" s="3">
        <v>0.3</v>
      </c>
    </row>
    <row r="23" spans="2:14" x14ac:dyDescent="0.2">
      <c r="C23" s="3" t="s">
        <v>20</v>
      </c>
      <c r="D23" s="3" t="s">
        <v>8</v>
      </c>
      <c r="E23" s="3">
        <v>10</v>
      </c>
    </row>
    <row r="24" spans="2:14" x14ac:dyDescent="0.2">
      <c r="B24" s="3" t="s">
        <v>15</v>
      </c>
      <c r="C24" s="5" t="s">
        <v>10</v>
      </c>
      <c r="D24" s="5" t="s">
        <v>9</v>
      </c>
      <c r="E24" s="5">
        <v>0.5</v>
      </c>
      <c r="M24" t="s">
        <v>50</v>
      </c>
    </row>
    <row r="25" spans="2:14" x14ac:dyDescent="0.2">
      <c r="C25" s="3" t="s">
        <v>5</v>
      </c>
      <c r="D25" s="3" t="s">
        <v>9</v>
      </c>
      <c r="E25" s="3">
        <v>0.1</v>
      </c>
      <c r="M25" s="1" t="s">
        <v>32</v>
      </c>
    </row>
    <row r="26" spans="2:14" x14ac:dyDescent="0.2">
      <c r="C26" s="3" t="s">
        <v>7</v>
      </c>
      <c r="D26" s="3" t="s">
        <v>9</v>
      </c>
      <c r="E26" s="3">
        <v>0.1</v>
      </c>
      <c r="M26" t="s">
        <v>28</v>
      </c>
      <c r="N26">
        <f>SUMIFS(E:E, C:C, "*蓝色碎片*", D:D, "*比例*")</f>
        <v>0.99999999999999989</v>
      </c>
    </row>
    <row r="27" spans="2:14" x14ac:dyDescent="0.2">
      <c r="C27" s="2" t="s">
        <v>3</v>
      </c>
      <c r="D27" s="2" t="s">
        <v>8</v>
      </c>
      <c r="E27" s="2">
        <v>100</v>
      </c>
      <c r="M27" t="s">
        <v>29</v>
      </c>
      <c r="N27">
        <f>SUMIFS(E:E, C:C, "*绿色碎片*", D:D, "*比例*")</f>
        <v>0.99999999999999989</v>
      </c>
    </row>
    <row r="28" spans="2:14" x14ac:dyDescent="0.2">
      <c r="C28" s="3" t="s">
        <v>24</v>
      </c>
      <c r="D28" s="3" t="s">
        <v>25</v>
      </c>
      <c r="E28" s="3">
        <v>10</v>
      </c>
      <c r="M28" t="s">
        <v>30</v>
      </c>
      <c r="N28">
        <f>SUMIFS(E:E, C:C, "*紫色碎片*", D:D, "*比例*")</f>
        <v>1</v>
      </c>
    </row>
    <row r="29" spans="2:14" x14ac:dyDescent="0.2">
      <c r="B29" s="3" t="s">
        <v>16</v>
      </c>
      <c r="C29" s="2" t="s">
        <v>3</v>
      </c>
      <c r="D29" s="2" t="s">
        <v>8</v>
      </c>
      <c r="E29" s="2">
        <v>50</v>
      </c>
      <c r="M29" t="s">
        <v>31</v>
      </c>
      <c r="N29">
        <f>SUMIFS(E:E, C:C, "*金币*", D:D, "*比例*")</f>
        <v>1</v>
      </c>
    </row>
    <row r="30" spans="2:14" x14ac:dyDescent="0.2">
      <c r="B30" s="3" t="s">
        <v>17</v>
      </c>
      <c r="C30" s="5" t="s">
        <v>10</v>
      </c>
      <c r="D30" s="5" t="s">
        <v>8</v>
      </c>
      <c r="E30" s="5">
        <v>500</v>
      </c>
    </row>
    <row r="31" spans="2:14" x14ac:dyDescent="0.2">
      <c r="C31" s="2" t="s">
        <v>3</v>
      </c>
      <c r="D31" s="2" t="s">
        <v>8</v>
      </c>
      <c r="E31" s="2">
        <v>50</v>
      </c>
    </row>
    <row r="32" spans="2:14" x14ac:dyDescent="0.2">
      <c r="C32" s="3" t="s">
        <v>6</v>
      </c>
      <c r="D32" s="3" t="s">
        <v>8</v>
      </c>
      <c r="E32" s="3">
        <v>2</v>
      </c>
    </row>
    <row r="33" spans="13:14" x14ac:dyDescent="0.2">
      <c r="M33" t="s">
        <v>58</v>
      </c>
      <c r="N33" t="s">
        <v>61</v>
      </c>
    </row>
    <row r="34" spans="13:14" x14ac:dyDescent="0.2">
      <c r="M34" t="s">
        <v>59</v>
      </c>
      <c r="N34" t="s">
        <v>60</v>
      </c>
    </row>
    <row r="35" spans="13:14" x14ac:dyDescent="0.2">
      <c r="M35" t="s">
        <v>62</v>
      </c>
      <c r="N35" t="s">
        <v>63</v>
      </c>
    </row>
  </sheetData>
  <mergeCells count="2">
    <mergeCell ref="C1:F1"/>
    <mergeCell ref="C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2025-05-21T18:05:36Z</dcterms:modified>
</cp:coreProperties>
</file>