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1" i="1" l="1"/>
  <c r="N40" i="1"/>
  <c r="N39" i="1" l="1"/>
  <c r="N38" i="1"/>
  <c r="N36" i="1"/>
  <c r="N37" i="1"/>
</calcChain>
</file>

<file path=xl/sharedStrings.xml><?xml version="1.0" encoding="utf-8"?>
<sst xmlns="http://schemas.openxmlformats.org/spreadsheetml/2006/main" count="148" uniqueCount="82">
  <si>
    <t>每日商店</t>
    <phoneticPr fontId="1" type="noConversion"/>
  </si>
  <si>
    <t>精致宝箱</t>
    <phoneticPr fontId="1" type="noConversion"/>
  </si>
  <si>
    <t>普通宝箱</t>
    <phoneticPr fontId="1" type="noConversion"/>
  </si>
  <si>
    <t>钻石</t>
    <phoneticPr fontId="1" type="noConversion"/>
  </si>
  <si>
    <t>广告</t>
    <phoneticPr fontId="1" type="noConversion"/>
  </si>
  <si>
    <t>绿色碎片</t>
    <phoneticPr fontId="1" type="noConversion"/>
  </si>
  <si>
    <t>紫色碎片</t>
    <phoneticPr fontId="1" type="noConversion"/>
  </si>
  <si>
    <t>蓝色碎片</t>
    <phoneticPr fontId="1" type="noConversion"/>
  </si>
  <si>
    <t>固定</t>
    <phoneticPr fontId="1" type="noConversion"/>
  </si>
  <si>
    <t>比例</t>
    <phoneticPr fontId="1" type="noConversion"/>
  </si>
  <si>
    <t>金币</t>
    <phoneticPr fontId="1" type="noConversion"/>
  </si>
  <si>
    <t>金币商店</t>
    <phoneticPr fontId="1" type="noConversion"/>
  </si>
  <si>
    <t>类型</t>
    <phoneticPr fontId="1" type="noConversion"/>
  </si>
  <si>
    <t>数值</t>
    <phoneticPr fontId="1" type="noConversion"/>
  </si>
  <si>
    <t>通关产出</t>
    <phoneticPr fontId="1" type="noConversion"/>
  </si>
  <si>
    <t>波次奖励</t>
    <phoneticPr fontId="1" type="noConversion"/>
  </si>
  <si>
    <t>七日登录</t>
    <phoneticPr fontId="1" type="noConversion"/>
  </si>
  <si>
    <t>每日任务</t>
    <phoneticPr fontId="1" type="noConversion"/>
  </si>
  <si>
    <t>浮动范围</t>
    <phoneticPr fontId="1" type="noConversion"/>
  </si>
  <si>
    <t>经济系统</t>
    <phoneticPr fontId="1" type="noConversion"/>
  </si>
  <si>
    <t>体力</t>
    <phoneticPr fontId="1" type="noConversion"/>
  </si>
  <si>
    <t>##var</t>
    <phoneticPr fontId="1" type="noConversion"/>
  </si>
  <si>
    <t>##type</t>
    <phoneticPr fontId="1" type="noConversion"/>
  </si>
  <si>
    <t>##</t>
    <phoneticPr fontId="1" type="noConversion"/>
  </si>
  <si>
    <t>体力</t>
    <phoneticPr fontId="1" type="noConversion"/>
  </si>
  <si>
    <t>固定</t>
    <phoneticPr fontId="1" type="noConversion"/>
  </si>
  <si>
    <t>产出资源</t>
    <phoneticPr fontId="1" type="noConversion"/>
  </si>
  <si>
    <t>广告</t>
    <phoneticPr fontId="1" type="noConversion"/>
  </si>
  <si>
    <t>绿色碎片总比例</t>
    <phoneticPr fontId="1" type="noConversion"/>
  </si>
  <si>
    <t>蓝色碎片总比例</t>
    <phoneticPr fontId="1" type="noConversion"/>
  </si>
  <si>
    <t>紫色碎片总比例</t>
    <phoneticPr fontId="1" type="noConversion"/>
  </si>
  <si>
    <t>金币总比例</t>
    <phoneticPr fontId="1" type="noConversion"/>
  </si>
  <si>
    <t>导表之前检查数据是否合理</t>
    <phoneticPr fontId="1" type="noConversion"/>
  </si>
  <si>
    <t>string</t>
    <phoneticPr fontId="1" type="noConversion"/>
  </si>
  <si>
    <t>数值</t>
    <phoneticPr fontId="1" type="noConversion"/>
  </si>
  <si>
    <t>浮动范围</t>
    <phoneticPr fontId="1" type="noConversion"/>
  </si>
  <si>
    <t>map,string,资源数据</t>
    <phoneticPr fontId="1" type="noConversion"/>
  </si>
  <si>
    <t>$key</t>
    <phoneticPr fontId="1" type="noConversion"/>
  </si>
  <si>
    <t>经济系统</t>
    <phoneticPr fontId="1" type="noConversion"/>
  </si>
  <si>
    <t>*经济系统数据</t>
    <phoneticPr fontId="1" type="noConversion"/>
  </si>
  <si>
    <t>类型</t>
    <phoneticPr fontId="1" type="noConversion"/>
  </si>
  <si>
    <t>钻石价格</t>
    <phoneticPr fontId="1" type="noConversion"/>
  </si>
  <si>
    <t>int</t>
    <phoneticPr fontId="1" type="noConversion"/>
  </si>
  <si>
    <t>购买次数</t>
    <phoneticPr fontId="1" type="noConversion"/>
  </si>
  <si>
    <t>一个500，一个2000</t>
    <phoneticPr fontId="1" type="noConversion"/>
  </si>
  <si>
    <t>这里决定了金币和钻石的兑换关系</t>
    <phoneticPr fontId="1" type="noConversion"/>
  </si>
  <si>
    <t>获得次数</t>
    <phoneticPr fontId="1" type="noConversion"/>
  </si>
  <si>
    <t>int</t>
    <phoneticPr fontId="1" type="noConversion"/>
  </si>
  <si>
    <t>获得次数 = 广告获得次数 + 钻石购买次数</t>
    <phoneticPr fontId="1" type="noConversion"/>
  </si>
  <si>
    <t>注意：平均每次开精致宝箱的收益要高于普通宝箱</t>
    <phoneticPr fontId="1" type="noConversion"/>
  </si>
  <si>
    <t>宝箱产出要有一个最低值</t>
    <phoneticPr fontId="1" type="noConversion"/>
  </si>
  <si>
    <t>2绿</t>
    <phoneticPr fontId="1" type="noConversion"/>
  </si>
  <si>
    <t>2蓝</t>
    <phoneticPr fontId="1" type="noConversion"/>
  </si>
  <si>
    <t>1紫</t>
    <phoneticPr fontId="1" type="noConversion"/>
  </si>
  <si>
    <t>1广告位</t>
    <phoneticPr fontId="1" type="noConversion"/>
  </si>
  <si>
    <t>计算每日不看广告只通关的情况下，最多的关卡进度</t>
    <phoneticPr fontId="1" type="noConversion"/>
  </si>
  <si>
    <t>计算通关奖励最少奖励和宝箱最少奖励，一起并入每日固定产出</t>
    <phoneticPr fontId="1" type="noConversion"/>
  </si>
  <si>
    <t>绿色的定价为1钻石，</t>
    <phoneticPr fontId="1" type="noConversion"/>
  </si>
  <si>
    <r>
      <t>在程序里写了，10次广告，</t>
    </r>
    <r>
      <rPr>
        <b/>
        <sz val="11"/>
        <color rgb="FFFF0000"/>
        <rFont val="等线"/>
        <family val="3"/>
        <charset val="134"/>
        <scheme val="minor"/>
      </rPr>
      <t>每个广告获得500金币</t>
    </r>
    <r>
      <rPr>
        <sz val="11"/>
        <color theme="1"/>
        <rFont val="等线"/>
        <family val="2"/>
        <scheme val="minor"/>
      </rPr>
      <t>。 剩余的5000金币，分配给两个钻石购买的礼包： 1000金币  100钻石</t>
    </r>
    <phoneticPr fontId="1" type="noConversion"/>
  </si>
  <si>
    <t>现价金币和钻石兑换比是1:10</t>
    <phoneticPr fontId="1" type="noConversion"/>
  </si>
  <si>
    <t>工作4</t>
    <phoneticPr fontId="1" type="noConversion"/>
  </si>
  <si>
    <t>工作5</t>
    <phoneticPr fontId="1" type="noConversion"/>
  </si>
  <si>
    <t>工作6</t>
    <phoneticPr fontId="1" type="noConversion"/>
  </si>
  <si>
    <t>保底绿色碎片</t>
    <phoneticPr fontId="1" type="noConversion"/>
  </si>
  <si>
    <t>保底蓝色碎片</t>
    <phoneticPr fontId="1" type="noConversion"/>
  </si>
  <si>
    <t>保底紫色碎片</t>
    <phoneticPr fontId="1" type="noConversion"/>
  </si>
  <si>
    <t>保底</t>
    <phoneticPr fontId="1" type="noConversion"/>
  </si>
  <si>
    <t>保底金币</t>
    <phoneticPr fontId="1" type="noConversion"/>
  </si>
  <si>
    <t>保底钻石</t>
    <phoneticPr fontId="1" type="noConversion"/>
  </si>
  <si>
    <t>每个类型为“比例”的数值，都有一个“保底”类型的数值，用于限制它的最小值。</t>
    <phoneticPr fontId="1" type="noConversion"/>
  </si>
  <si>
    <t>考虑保底钻石对每日钻石需求的影响</t>
    <phoneticPr fontId="1" type="noConversion"/>
  </si>
  <si>
    <t>保底资源，都是 保底 两个字+ 资源名的格式</t>
    <phoneticPr fontId="1" type="noConversion"/>
  </si>
  <si>
    <t>工作7</t>
    <phoneticPr fontId="1" type="noConversion"/>
  </si>
  <si>
    <t>根据每天的产出，分配到每关的产出奖励</t>
    <phoneticPr fontId="1" type="noConversion"/>
  </si>
  <si>
    <t>计算精致宝箱升级，和每级的产出资源数量</t>
    <phoneticPr fontId="1" type="noConversion"/>
  </si>
  <si>
    <t>工作8</t>
    <phoneticPr fontId="1" type="noConversion"/>
  </si>
  <si>
    <t>按养成强度来计算关卡数值，替代角色平均等级</t>
    <phoneticPr fontId="1" type="noConversion"/>
  </si>
  <si>
    <t>保底资源的价值要能达到200钻石的成本</t>
    <phoneticPr fontId="1" type="noConversion"/>
  </si>
  <si>
    <t>精致宝箱保底价值</t>
    <phoneticPr fontId="1" type="noConversion"/>
  </si>
  <si>
    <t>普通宝箱保底价值</t>
    <phoneticPr fontId="1" type="noConversion"/>
  </si>
  <si>
    <t>比例   是 总需求-固定值的剩余的比例</t>
    <phoneticPr fontId="1" type="noConversion"/>
  </si>
  <si>
    <t>如果价值比变了，保底价值要重新计算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</si>
</sst>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2" fillId="4" borderId="1" xfId="0" applyFont="1" applyFill="1" applyBorder="1"/>
    <xf numFmtId="0" fontId="0" fillId="2" borderId="1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topLeftCell="A19" workbookViewId="0">
      <selection activeCell="G34" sqref="G34"/>
    </sheetView>
  </sheetViews>
  <sheetFormatPr defaultRowHeight="14.25" x14ac:dyDescent="0.2"/>
  <cols>
    <col min="1" max="1" width="9" style="3"/>
    <col min="2" max="2" width="14.875" style="3" customWidth="1"/>
    <col min="3" max="3" width="21" style="3" customWidth="1"/>
    <col min="4" max="6" width="9" style="3"/>
    <col min="12" max="12" width="26.75" customWidth="1"/>
    <col min="13" max="13" width="23.75" customWidth="1"/>
  </cols>
  <sheetData>
    <row r="1" spans="1:19" s="1" customFormat="1" x14ac:dyDescent="0.2">
      <c r="A1" s="2" t="s">
        <v>21</v>
      </c>
      <c r="B1" s="2" t="s">
        <v>38</v>
      </c>
      <c r="C1" s="6" t="s">
        <v>39</v>
      </c>
      <c r="D1" s="6"/>
      <c r="E1" s="6"/>
      <c r="F1" s="6"/>
      <c r="G1" s="1" t="s">
        <v>41</v>
      </c>
      <c r="H1" s="1" t="s">
        <v>43</v>
      </c>
      <c r="I1" s="1" t="s">
        <v>46</v>
      </c>
    </row>
    <row r="2" spans="1:19" s="1" customFormat="1" x14ac:dyDescent="0.2">
      <c r="A2" s="2" t="s">
        <v>22</v>
      </c>
      <c r="B2" s="2" t="s">
        <v>33</v>
      </c>
      <c r="C2" s="6" t="s">
        <v>36</v>
      </c>
      <c r="D2" s="6"/>
      <c r="E2" s="6"/>
      <c r="F2" s="6"/>
      <c r="G2" s="1" t="s">
        <v>42</v>
      </c>
      <c r="H2" s="1" t="s">
        <v>42</v>
      </c>
      <c r="I2" s="1" t="s">
        <v>47</v>
      </c>
    </row>
    <row r="3" spans="1:19" s="1" customFormat="1" x14ac:dyDescent="0.2">
      <c r="A3" s="2" t="s">
        <v>21</v>
      </c>
      <c r="B3" s="2"/>
      <c r="C3" s="2" t="s">
        <v>37</v>
      </c>
      <c r="D3" s="2" t="s">
        <v>40</v>
      </c>
      <c r="E3" s="2" t="s">
        <v>34</v>
      </c>
      <c r="F3" s="2" t="s">
        <v>35</v>
      </c>
    </row>
    <row r="4" spans="1:19" s="1" customFormat="1" x14ac:dyDescent="0.2">
      <c r="A4" s="2" t="s">
        <v>23</v>
      </c>
      <c r="B4" s="2" t="s">
        <v>19</v>
      </c>
      <c r="C4" s="2" t="s">
        <v>26</v>
      </c>
      <c r="D4" s="2" t="s">
        <v>12</v>
      </c>
      <c r="E4" s="2" t="s">
        <v>13</v>
      </c>
      <c r="F4" s="2" t="s">
        <v>18</v>
      </c>
    </row>
    <row r="5" spans="1:19" x14ac:dyDescent="0.2">
      <c r="B5" s="3" t="s">
        <v>0</v>
      </c>
      <c r="C5" s="5" t="s">
        <v>4</v>
      </c>
      <c r="D5" s="5" t="s">
        <v>8</v>
      </c>
      <c r="E5" s="5">
        <v>10</v>
      </c>
      <c r="G5" s="9">
        <v>1</v>
      </c>
      <c r="H5">
        <v>1</v>
      </c>
      <c r="I5">
        <v>1</v>
      </c>
      <c r="M5" t="s">
        <v>54</v>
      </c>
      <c r="N5" s="8" t="s">
        <v>57</v>
      </c>
    </row>
    <row r="6" spans="1:19" x14ac:dyDescent="0.2">
      <c r="C6" s="3" t="s">
        <v>5</v>
      </c>
      <c r="D6" s="3" t="s">
        <v>8</v>
      </c>
      <c r="E6" s="3">
        <v>30</v>
      </c>
      <c r="F6" s="3">
        <v>5</v>
      </c>
      <c r="M6" t="s">
        <v>51</v>
      </c>
    </row>
    <row r="7" spans="1:19" x14ac:dyDescent="0.2">
      <c r="C7" s="3" t="s">
        <v>7</v>
      </c>
      <c r="D7" s="3" t="s">
        <v>8</v>
      </c>
      <c r="E7" s="3">
        <v>15</v>
      </c>
      <c r="F7" s="3">
        <v>5</v>
      </c>
      <c r="M7" t="s">
        <v>52</v>
      </c>
    </row>
    <row r="8" spans="1:19" x14ac:dyDescent="0.2">
      <c r="C8" s="3" t="s">
        <v>6</v>
      </c>
      <c r="D8" s="3" t="s">
        <v>8</v>
      </c>
      <c r="E8" s="3">
        <v>4</v>
      </c>
      <c r="F8" s="3">
        <v>4</v>
      </c>
      <c r="M8" t="s">
        <v>53</v>
      </c>
    </row>
    <row r="9" spans="1:19" x14ac:dyDescent="0.2">
      <c r="B9" s="3" t="s">
        <v>2</v>
      </c>
      <c r="C9" s="3" t="s">
        <v>5</v>
      </c>
      <c r="D9" s="3" t="s">
        <v>9</v>
      </c>
      <c r="E9" s="3">
        <v>0.1</v>
      </c>
      <c r="G9">
        <v>25</v>
      </c>
      <c r="H9">
        <v>4</v>
      </c>
      <c r="I9">
        <v>4</v>
      </c>
    </row>
    <row r="10" spans="1:19" x14ac:dyDescent="0.2">
      <c r="C10" s="3" t="s">
        <v>7</v>
      </c>
      <c r="D10" s="3" t="s">
        <v>9</v>
      </c>
      <c r="E10" s="3">
        <v>0.1</v>
      </c>
      <c r="M10" s="7" t="s">
        <v>69</v>
      </c>
    </row>
    <row r="11" spans="1:19" x14ac:dyDescent="0.2">
      <c r="C11" s="3" t="s">
        <v>63</v>
      </c>
      <c r="D11" s="3" t="s">
        <v>66</v>
      </c>
      <c r="E11" s="3">
        <v>10</v>
      </c>
      <c r="M11" s="7" t="s">
        <v>71</v>
      </c>
    </row>
    <row r="12" spans="1:19" x14ac:dyDescent="0.2">
      <c r="C12" s="3" t="s">
        <v>64</v>
      </c>
      <c r="D12" s="3" t="s">
        <v>66</v>
      </c>
      <c r="E12" s="3">
        <v>5</v>
      </c>
      <c r="M12" s="7" t="s">
        <v>77</v>
      </c>
    </row>
    <row r="13" spans="1:19" x14ac:dyDescent="0.2">
      <c r="B13" s="3" t="s">
        <v>1</v>
      </c>
      <c r="C13" s="5" t="s">
        <v>27</v>
      </c>
      <c r="D13" s="5" t="s">
        <v>25</v>
      </c>
      <c r="E13" s="5">
        <v>1</v>
      </c>
      <c r="G13">
        <v>200</v>
      </c>
      <c r="H13">
        <v>8</v>
      </c>
      <c r="I13">
        <v>9</v>
      </c>
      <c r="Q13" t="s">
        <v>49</v>
      </c>
    </row>
    <row r="14" spans="1:19" x14ac:dyDescent="0.2">
      <c r="C14" s="4" t="s">
        <v>10</v>
      </c>
      <c r="D14" s="4" t="s">
        <v>8</v>
      </c>
      <c r="E14" s="4">
        <v>100</v>
      </c>
    </row>
    <row r="15" spans="1:19" x14ac:dyDescent="0.2">
      <c r="C15" s="3" t="s">
        <v>5</v>
      </c>
      <c r="D15" s="3" t="s">
        <v>9</v>
      </c>
      <c r="E15" s="3">
        <v>0.5</v>
      </c>
      <c r="M15" t="s">
        <v>48</v>
      </c>
    </row>
    <row r="16" spans="1:19" x14ac:dyDescent="0.2">
      <c r="C16" s="3" t="s">
        <v>7</v>
      </c>
      <c r="D16" s="3" t="s">
        <v>9</v>
      </c>
      <c r="E16" s="3">
        <v>0.5</v>
      </c>
      <c r="S16" t="s">
        <v>50</v>
      </c>
    </row>
    <row r="17" spans="2:14" x14ac:dyDescent="0.2">
      <c r="C17" s="3" t="s">
        <v>6</v>
      </c>
      <c r="D17" s="3" t="s">
        <v>9</v>
      </c>
      <c r="E17" s="3">
        <v>0.7</v>
      </c>
    </row>
    <row r="18" spans="2:14" x14ac:dyDescent="0.2">
      <c r="C18" s="3" t="s">
        <v>63</v>
      </c>
      <c r="D18" s="3" t="s">
        <v>66</v>
      </c>
      <c r="E18" s="3">
        <v>90</v>
      </c>
    </row>
    <row r="19" spans="2:14" x14ac:dyDescent="0.2">
      <c r="C19" s="3" t="s">
        <v>64</v>
      </c>
      <c r="D19" s="3" t="s">
        <v>66</v>
      </c>
      <c r="E19" s="3">
        <v>20</v>
      </c>
    </row>
    <row r="20" spans="2:14" x14ac:dyDescent="0.2">
      <c r="C20" s="3" t="s">
        <v>65</v>
      </c>
      <c r="D20" s="3" t="s">
        <v>66</v>
      </c>
      <c r="E20" s="3">
        <v>4</v>
      </c>
    </row>
    <row r="21" spans="2:14" x14ac:dyDescent="0.2">
      <c r="B21" s="3" t="s">
        <v>11</v>
      </c>
      <c r="C21" s="5" t="s">
        <v>27</v>
      </c>
      <c r="D21" s="5" t="s">
        <v>25</v>
      </c>
      <c r="E21" s="5">
        <v>10</v>
      </c>
      <c r="G21">
        <v>500</v>
      </c>
      <c r="M21" t="s">
        <v>44</v>
      </c>
      <c r="N21" t="s">
        <v>45</v>
      </c>
    </row>
    <row r="22" spans="2:14" x14ac:dyDescent="0.2">
      <c r="C22" s="4" t="s">
        <v>10</v>
      </c>
      <c r="D22" s="4" t="s">
        <v>8</v>
      </c>
      <c r="E22" s="4">
        <v>10000</v>
      </c>
      <c r="M22" t="s">
        <v>58</v>
      </c>
    </row>
    <row r="23" spans="2:14" x14ac:dyDescent="0.2">
      <c r="B23" s="3" t="s">
        <v>14</v>
      </c>
      <c r="C23" s="4" t="s">
        <v>10</v>
      </c>
      <c r="D23" s="4" t="s">
        <v>9</v>
      </c>
      <c r="E23" s="4">
        <v>0.5</v>
      </c>
      <c r="M23" t="s">
        <v>59</v>
      </c>
    </row>
    <row r="24" spans="2:14" x14ac:dyDescent="0.2">
      <c r="C24" s="2" t="s">
        <v>3</v>
      </c>
      <c r="D24" s="2" t="s">
        <v>8</v>
      </c>
      <c r="E24" s="2">
        <v>100</v>
      </c>
    </row>
    <row r="25" spans="2:14" x14ac:dyDescent="0.2">
      <c r="C25" s="3" t="s">
        <v>5</v>
      </c>
      <c r="D25" s="3" t="s">
        <v>9</v>
      </c>
      <c r="E25" s="3">
        <v>0.3</v>
      </c>
    </row>
    <row r="26" spans="2:14" x14ac:dyDescent="0.2">
      <c r="C26" s="3" t="s">
        <v>7</v>
      </c>
      <c r="D26" s="3" t="s">
        <v>9</v>
      </c>
      <c r="E26" s="3">
        <v>0.3</v>
      </c>
    </row>
    <row r="27" spans="2:14" x14ac:dyDescent="0.2">
      <c r="C27" s="3" t="s">
        <v>6</v>
      </c>
      <c r="D27" s="3" t="s">
        <v>9</v>
      </c>
      <c r="E27" s="3">
        <v>0.3</v>
      </c>
    </row>
    <row r="28" spans="2:14" x14ac:dyDescent="0.2">
      <c r="C28" s="3" t="s">
        <v>63</v>
      </c>
      <c r="D28" s="3" t="s">
        <v>66</v>
      </c>
      <c r="E28" s="3">
        <v>10</v>
      </c>
    </row>
    <row r="29" spans="2:14" x14ac:dyDescent="0.2">
      <c r="C29" s="3" t="s">
        <v>64</v>
      </c>
      <c r="D29" s="3" t="s">
        <v>66</v>
      </c>
      <c r="E29" s="3">
        <v>5</v>
      </c>
    </row>
    <row r="30" spans="2:14" x14ac:dyDescent="0.2">
      <c r="C30" s="3" t="s">
        <v>65</v>
      </c>
      <c r="D30" s="3" t="s">
        <v>66</v>
      </c>
      <c r="E30" s="3">
        <v>1</v>
      </c>
    </row>
    <row r="31" spans="2:14" x14ac:dyDescent="0.2">
      <c r="C31" s="3" t="s">
        <v>67</v>
      </c>
      <c r="D31" s="3" t="s">
        <v>66</v>
      </c>
      <c r="E31" s="3">
        <v>100</v>
      </c>
    </row>
    <row r="32" spans="2:14" x14ac:dyDescent="0.2">
      <c r="C32" s="3" t="s">
        <v>68</v>
      </c>
      <c r="D32" s="3" t="s">
        <v>66</v>
      </c>
      <c r="E32" s="3">
        <v>10</v>
      </c>
    </row>
    <row r="33" spans="2:16" x14ac:dyDescent="0.2">
      <c r="C33" s="3" t="s">
        <v>20</v>
      </c>
      <c r="D33" s="3" t="s">
        <v>8</v>
      </c>
      <c r="E33" s="3">
        <v>10</v>
      </c>
    </row>
    <row r="34" spans="2:16" x14ac:dyDescent="0.2">
      <c r="B34" s="3" t="s">
        <v>15</v>
      </c>
      <c r="C34" s="4" t="s">
        <v>10</v>
      </c>
      <c r="D34" s="4" t="s">
        <v>9</v>
      </c>
      <c r="E34" s="4">
        <v>0.5</v>
      </c>
      <c r="M34" t="s">
        <v>80</v>
      </c>
    </row>
    <row r="35" spans="2:16" x14ac:dyDescent="0.2">
      <c r="C35" s="3" t="s">
        <v>5</v>
      </c>
      <c r="D35" s="3" t="s">
        <v>9</v>
      </c>
      <c r="E35" s="3">
        <v>0.1</v>
      </c>
      <c r="M35" s="1" t="s">
        <v>32</v>
      </c>
    </row>
    <row r="36" spans="2:16" x14ac:dyDescent="0.2">
      <c r="C36" s="3" t="s">
        <v>7</v>
      </c>
      <c r="D36" s="3" t="s">
        <v>9</v>
      </c>
      <c r="E36" s="3">
        <v>0.1</v>
      </c>
      <c r="M36" t="s">
        <v>28</v>
      </c>
      <c r="N36">
        <f>SUMIFS(E:E, C:C, "*蓝色碎片*", D:D, "*比例*")</f>
        <v>0.99999999999999989</v>
      </c>
    </row>
    <row r="37" spans="2:16" x14ac:dyDescent="0.2">
      <c r="C37" s="2" t="s">
        <v>3</v>
      </c>
      <c r="D37" s="2" t="s">
        <v>8</v>
      </c>
      <c r="E37" s="2">
        <v>100</v>
      </c>
      <c r="M37" t="s">
        <v>29</v>
      </c>
      <c r="N37">
        <f>SUMIFS(E:E, C:C, "*绿色碎片*", D:D, "*比例*")</f>
        <v>0.99999999999999989</v>
      </c>
    </row>
    <row r="38" spans="2:16" x14ac:dyDescent="0.2">
      <c r="C38" s="3" t="s">
        <v>24</v>
      </c>
      <c r="D38" s="3" t="s">
        <v>25</v>
      </c>
      <c r="E38" s="3">
        <v>10</v>
      </c>
      <c r="M38" t="s">
        <v>30</v>
      </c>
      <c r="N38">
        <f>SUMIFS(E:E, C:C, "*紫色碎片*", D:D, "*比例*")</f>
        <v>1</v>
      </c>
    </row>
    <row r="39" spans="2:16" x14ac:dyDescent="0.2">
      <c r="C39" s="3" t="s">
        <v>67</v>
      </c>
      <c r="D39" s="3" t="s">
        <v>66</v>
      </c>
      <c r="E39" s="3">
        <v>100</v>
      </c>
      <c r="M39" t="s">
        <v>31</v>
      </c>
      <c r="N39">
        <f>SUMIFS(E:E, C:C, "*金币*", D:D, "*比例*")</f>
        <v>1</v>
      </c>
    </row>
    <row r="40" spans="2:16" x14ac:dyDescent="0.2">
      <c r="C40" s="3" t="s">
        <v>63</v>
      </c>
      <c r="D40" s="3" t="s">
        <v>66</v>
      </c>
      <c r="E40" s="3">
        <v>5</v>
      </c>
      <c r="M40" t="s">
        <v>78</v>
      </c>
      <c r="N40">
        <f>E18*1+E19*3+E20*10+10</f>
        <v>200</v>
      </c>
    </row>
    <row r="41" spans="2:16" x14ac:dyDescent="0.2">
      <c r="C41" s="3" t="s">
        <v>64</v>
      </c>
      <c r="D41" s="3" t="s">
        <v>66</v>
      </c>
      <c r="E41" s="3">
        <v>3</v>
      </c>
      <c r="M41" t="s">
        <v>79</v>
      </c>
      <c r="N41">
        <f>E11*1+E12*3</f>
        <v>25</v>
      </c>
      <c r="P41" t="s">
        <v>81</v>
      </c>
    </row>
    <row r="42" spans="2:16" x14ac:dyDescent="0.2">
      <c r="B42" s="3" t="s">
        <v>16</v>
      </c>
      <c r="C42" s="2" t="s">
        <v>3</v>
      </c>
      <c r="D42" s="2" t="s">
        <v>8</v>
      </c>
      <c r="E42" s="2">
        <v>50</v>
      </c>
    </row>
    <row r="43" spans="2:16" x14ac:dyDescent="0.2">
      <c r="B43" s="3" t="s">
        <v>17</v>
      </c>
      <c r="C43" s="4" t="s">
        <v>10</v>
      </c>
      <c r="D43" s="4" t="s">
        <v>8</v>
      </c>
      <c r="E43" s="4">
        <v>500</v>
      </c>
    </row>
    <row r="44" spans="2:16" x14ac:dyDescent="0.2">
      <c r="C44" s="2" t="s">
        <v>3</v>
      </c>
      <c r="D44" s="2" t="s">
        <v>8</v>
      </c>
      <c r="E44" s="2">
        <v>50</v>
      </c>
    </row>
    <row r="45" spans="2:16" x14ac:dyDescent="0.2">
      <c r="C45" s="3" t="s">
        <v>6</v>
      </c>
      <c r="D45" s="3" t="s">
        <v>8</v>
      </c>
      <c r="E45" s="3">
        <v>2</v>
      </c>
    </row>
    <row r="48" spans="2:16" x14ac:dyDescent="0.2">
      <c r="M48" t="s">
        <v>60</v>
      </c>
      <c r="N48" t="s">
        <v>56</v>
      </c>
    </row>
    <row r="49" spans="13:14" x14ac:dyDescent="0.2">
      <c r="N49" t="s">
        <v>70</v>
      </c>
    </row>
    <row r="50" spans="13:14" x14ac:dyDescent="0.2">
      <c r="M50" t="s">
        <v>61</v>
      </c>
      <c r="N50" t="s">
        <v>74</v>
      </c>
    </row>
    <row r="51" spans="13:14" x14ac:dyDescent="0.2">
      <c r="M51" t="s">
        <v>62</v>
      </c>
      <c r="N51" t="s">
        <v>55</v>
      </c>
    </row>
    <row r="53" spans="13:14" x14ac:dyDescent="0.2">
      <c r="M53" t="s">
        <v>72</v>
      </c>
      <c r="N53" t="s">
        <v>73</v>
      </c>
    </row>
    <row r="56" spans="13:14" x14ac:dyDescent="0.2">
      <c r="M56" t="s">
        <v>75</v>
      </c>
      <c r="N56" t="s">
        <v>76</v>
      </c>
    </row>
  </sheetData>
  <mergeCells count="2">
    <mergeCell ref="C1:F1"/>
    <mergeCell ref="C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2025-05-22T11:40:24Z</dcterms:modified>
</cp:coreProperties>
</file>